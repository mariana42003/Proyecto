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clados" sheetId="1" r:id="rId5"/>
    <sheet state="visible" name="Servidores Gratuitos" sheetId="2" r:id="rId6"/>
    <sheet state="visible" name="Mouse" sheetId="3" r:id="rId7"/>
    <sheet state="visible" name="Pc" sheetId="4" r:id="rId8"/>
    <sheet state="visible" name="Monitor " sheetId="5" r:id="rId9"/>
    <sheet state="visible" name="Conectividad" sheetId="6" r:id="rId10"/>
    <sheet state="visible" name="Windows 11" sheetId="7" r:id="rId11"/>
    <sheet state="visible" name="Licencia SQL" sheetId="8" r:id="rId12"/>
    <sheet state="visible" name="Servidores" sheetId="9" r:id="rId13"/>
    <sheet state="visible" name="Mano de obra" sheetId="10" r:id="rId14"/>
    <sheet state="visible" name="CUADRO RESUMEN  - FICHA TECNICA" sheetId="11" r:id="rId15"/>
  </sheets>
  <definedNames/>
  <calcPr/>
</workbook>
</file>

<file path=xl/sharedStrings.xml><?xml version="1.0" encoding="utf-8"?>
<sst xmlns="http://schemas.openxmlformats.org/spreadsheetml/2006/main" count="336" uniqueCount="217">
  <si>
    <t>Hardware, Dispositivos de entrada</t>
  </si>
  <si>
    <t>Propuestos (a)</t>
  </si>
  <si>
    <t>Empresa</t>
  </si>
  <si>
    <t>N de CUIT, Dieeccion, 
Telefono</t>
  </si>
  <si>
    <t>Descripcion 
del servicio</t>
  </si>
  <si>
    <t>Importe unitario</t>
  </si>
  <si>
    <t>Importe total 
Iva incluido</t>
  </si>
  <si>
    <r>
      <rPr>
        <rFont val="Times New Roman"/>
        <b/>
        <color theme="1"/>
      </rPr>
      <t xml:space="preserve">Importe total
</t>
    </r>
    <r>
      <rPr>
        <rFont val="Times New Roman"/>
        <b/>
        <i/>
        <color theme="1"/>
        <sz val="8.0"/>
      </rPr>
      <t>(moneda extranjera)</t>
    </r>
  </si>
  <si>
    <t>Tipo de cambio</t>
  </si>
  <si>
    <r>
      <rPr>
        <rFont val="Times New Roman"/>
        <b/>
        <color theme="1"/>
      </rPr>
      <t xml:space="preserve">Forma de pago 
</t>
    </r>
    <r>
      <rPr>
        <rFont val="Times New Roman"/>
        <b/>
        <i/>
        <color theme="1"/>
        <sz val="8.0"/>
      </rPr>
      <t>(Contado o cheque)</t>
    </r>
  </si>
  <si>
    <t>Observaciones</t>
  </si>
  <si>
    <t xml:space="preserve">N -1 </t>
  </si>
  <si>
    <t>AMAZON</t>
  </si>
  <si>
    <t xml:space="preserve">https://surl.lu/tqozft
</t>
  </si>
  <si>
    <t>Teclado mecánico 
inalámbrico AULA F75 Pro.</t>
  </si>
  <si>
    <t>Contado</t>
  </si>
  <si>
    <t>Conectividad de tres modos 
 (Bluetooth, 2.4 GHz y USB),  batería recargable
 de 4000 mAh y compatibilidad con múltiples dispositivos.</t>
  </si>
  <si>
    <t>N - 2</t>
  </si>
  <si>
    <t>MERCADO LIBRE</t>
  </si>
  <si>
    <t>https://www.mercadoli
bre.com.co/p/MCO21882148</t>
  </si>
  <si>
    <t>Mini teclado Bluetooth plegable 
ultrafino con panel táctil</t>
  </si>
  <si>
    <t>Layout QWERTY, diseño ergonómico, conector USB 3.0 y 
dimensiones de 30 cm de alto, 
10 cm de ancho y 1 cm de profundidad.</t>
  </si>
  <si>
    <t>N - 3</t>
  </si>
  <si>
    <t>ALKOSTO</t>
  </si>
  <si>
    <t>https://www.alkosto.com/tecl
ado-logitech-multimedia-inal
ambrico-tv-computador-k40
0/p/097855115324</t>
  </si>
  <si>
    <t>Teclado inalámbrico LOGITECH
 K400 con touchpad</t>
  </si>
  <si>
    <t>Touchpad integrado, alcance inalámbrico de 
hasta 10 metros, teclas silenciosas de
 bajo perfil y sistema de ahorro de energía.</t>
  </si>
  <si>
    <r>
      <rPr>
        <rFont val="Times New Roman"/>
        <color theme="1"/>
      </rPr>
      <t xml:space="preserve">Importe total
</t>
    </r>
    <r>
      <rPr>
        <rFont val="Times New Roman"/>
        <i/>
        <color theme="1"/>
        <sz val="8.0"/>
      </rPr>
      <t>(moneda extranjera)</t>
    </r>
  </si>
  <si>
    <r>
      <rPr>
        <rFont val="Times New Roman"/>
        <color theme="1"/>
      </rPr>
      <t xml:space="preserve">Forma de pago 
</t>
    </r>
    <r>
      <rPr>
        <rFont val="Times New Roman"/>
        <i/>
        <color theme="1"/>
        <sz val="8.0"/>
      </rPr>
      <t>(Contado o cheque)</t>
    </r>
  </si>
  <si>
    <t>Vercel</t>
  </si>
  <si>
    <t>https://vercel.com/</t>
  </si>
  <si>
    <t>Plataforma de hosting gratuito para aplicaciones web (frontend)</t>
  </si>
  <si>
    <t>Plan gratis (Hobby), despliegue rápido, integración con GitHub y optimización automática.</t>
  </si>
  <si>
    <t>Netlify</t>
  </si>
  <si>
    <t>https://www.netlify.com/</t>
  </si>
  <si>
    <t>Servicio de hosting gratuito para sitios web estáticos</t>
  </si>
  <si>
    <t>Incluye despliegue continuo, funciones serverless y dominio gratis con límites.</t>
  </si>
  <si>
    <t>Microsoft Azure</t>
  </si>
  <si>
    <t>https://azure.microsoft.com/</t>
  </si>
  <si>
    <t>Plataforma de servicios en la nube con servidores virtuales</t>
  </si>
  <si>
    <t>Ofrece créditos gratuitos iniciales y algunos servicios gratis por tiempo limitado.</t>
  </si>
  <si>
    <t>N de CUIT, Direccion, 
Telefono</t>
  </si>
  <si>
    <r>
      <rPr>
        <rFont val="Times New Roman"/>
        <b/>
        <color theme="1"/>
      </rPr>
      <t xml:space="preserve">Importe total
</t>
    </r>
    <r>
      <rPr>
        <rFont val="Times New Roman"/>
        <b/>
        <i/>
        <color theme="1"/>
        <sz val="8.0"/>
      </rPr>
      <t>(moneda extranjera)</t>
    </r>
  </si>
  <si>
    <r>
      <rPr>
        <rFont val="Times New Roman"/>
        <b/>
        <color theme="1"/>
      </rPr>
      <t xml:space="preserve">Forma de pago 
</t>
    </r>
    <r>
      <rPr>
        <rFont val="Times New Roman"/>
        <b/>
        <i/>
        <color theme="1"/>
        <sz val="8.0"/>
      </rPr>
      <t>(Contado o cheque)</t>
    </r>
  </si>
  <si>
    <t>Falabella</t>
  </si>
  <si>
    <t>https://n9.cl/s0ud3</t>
  </si>
  <si>
    <t>Mouse Gamer Zelotes F26C Bluetooth Inalámbrico Recargable</t>
  </si>
  <si>
    <t xml:space="preserve">- Diseño Ergonómico: Postura vertical que reduce la fatiga muscular y el estrés en la muñeca.
- Diseño Inalámbrico: Libertad de movimiento sin restricciones por cables.
- Recargable: Batería interna que elimina la necesidad de pilas desechables.
</t>
  </si>
  <si>
    <t>Homecenter</t>
  </si>
  <si>
    <t>https://n9.cl/8qatb</t>
  </si>
  <si>
    <t xml:space="preserve">Mouse Gamer T-80 7200 DPI USB 7 Botones
</t>
  </si>
  <si>
    <t>•Tipo : Mouse
•Alimentación : AC/DC
•Alto : 3.6 cm
•Color : Negro con detalles multicolor
•Duración batería : 0.00001 - 100 d</t>
  </si>
  <si>
    <t>K-tronix</t>
  </si>
  <si>
    <t>https://n9.cl/qidnvk</t>
  </si>
  <si>
    <t>Mouse LOGITECH G Alámbrico
 Gaming Lightsync G203 Negro</t>
  </si>
  <si>
    <t>Sensibilidad de sensor ajustable de 200-8.000 DPI
Iluminación RGB LIGHTSYNC de hasta 16,8 millones de colores
Sistema de tensión de botones con resortes metálicos óptimos
Diseño clásico que brinda confort para jugar cuando quieras
Configura sus 6 botones programables mediante Logitech G HUB</t>
  </si>
  <si>
    <t>Computadores</t>
  </si>
  <si>
    <r>
      <rPr>
        <rFont val="Times New Roman"/>
        <b/>
        <color theme="1"/>
      </rPr>
      <t xml:space="preserve">Importe total
</t>
    </r>
    <r>
      <rPr>
        <rFont val="Times New Roman"/>
        <b/>
        <i/>
        <color theme="1"/>
        <sz val="8.0"/>
      </rPr>
      <t>(moneda extranjera)</t>
    </r>
  </si>
  <si>
    <r>
      <rPr>
        <rFont val="Times New Roman"/>
        <b/>
        <color theme="1"/>
      </rPr>
      <t xml:space="preserve">Forma de pago 
</t>
    </r>
    <r>
      <rPr>
        <rFont val="Times New Roman"/>
        <b/>
        <i/>
        <color theme="1"/>
        <sz val="8.0"/>
      </rPr>
      <t>(Contado o cheque)</t>
    </r>
  </si>
  <si>
    <t>Amazon</t>
  </si>
  <si>
    <t>https://www.amazon.com/-/es/Dell-Computadora-escritorio-OptiPlex-7050/dp/B0BN1SLZ9F/</t>
  </si>
  <si>
    <t>Computador de escritorio Dell</t>
  </si>
  <si>
    <t>282,72</t>
  </si>
  <si>
    <t>1.043.236</t>
  </si>
  <si>
    <t>Intel Core i5 7500 3.40GHz 16GB DDR4 RAM, 512GB SSD, Wi-Fi integrado, Bluetooth, Windows 11 Pro</t>
  </si>
  <si>
    <t>https://surl.lu/nwcrcd</t>
  </si>
  <si>
    <t>Computador de escritorio JANUS Intel Core i5-12400, 8GB RAM, 512GB SSD, monitor 22" 100Hz, teclado y mouse alámbricos.</t>
  </si>
  <si>
    <t xml:space="preserve">$2.125.000
</t>
  </si>
  <si>
    <t>671,0</t>
  </si>
  <si>
    <t>Este equipo JANUS incluye un procesador Intel Core i5-12400 de 6 núcleos y 12 subprocesos, con frecuencia base de 2.60GHz y turbo de 4.40GHz, con 18MB de cache y TDP de 65W. Cuenta con 16GB de memoria RAM DDR4 a 3200MHz, expandible hasta 64GB en dos slots. El almacenamiento es un SSD de 512GB con conexión M.2 PCIe y la placa madre es una H610M con chipset Intel H610, soportando 1 ranura PCIe x16 y múltiples conexiones SATA3. El chasis RD-855 Micro-ATX negro incluye ventilador azul y fuente de 400W reales. Incluye teclado y mouse alámbricos de membrana marca JANUS y audio 7.1 canales HD. Red LAN Intel I219V 1Gbps. Sistema operativo Windows 10 versión de prueba por 30 días. Además, se entrega con monitor de 22 pulgadas con tasa de refresco de 100Hz, ideal para trabajo o entretenimiento. La compra incluye despacho a domicilio en Usaquén, Bogotá, con envío gratuito.</t>
  </si>
  <si>
    <t>Alkosto</t>
  </si>
  <si>
    <t>https://n9.cl/wkccd</t>
  </si>
  <si>
    <t xml:space="preserve">Computador de escritorio Gamer </t>
  </si>
  <si>
    <t>2.747.058</t>
  </si>
  <si>
    <t>3.269.000</t>
  </si>
  <si>
    <t>893,12</t>
  </si>
  <si>
    <t>3.295.612</t>
  </si>
  <si>
    <t>Ryzen 5 8500G Ram 32Gb Ddr5 Ssd 1Tb Board B650m</t>
  </si>
  <si>
    <r>
      <rPr>
        <rFont val="Times New Roman"/>
        <b/>
        <color theme="1"/>
      </rPr>
      <t xml:space="preserve">Importe total
</t>
    </r>
    <r>
      <rPr>
        <rFont val="Times New Roman"/>
        <b/>
        <i/>
        <color theme="1"/>
        <sz val="8.0"/>
      </rPr>
      <t>(moneda extranjera)</t>
    </r>
  </si>
  <si>
    <r>
      <rPr>
        <rFont val="Times New Roman"/>
        <b/>
        <color theme="1"/>
      </rPr>
      <t xml:space="preserve">Forma de pago 
</t>
    </r>
    <r>
      <rPr>
        <rFont val="Times New Roman"/>
        <b/>
        <i/>
        <color theme="1"/>
        <sz val="8.0"/>
      </rPr>
      <t>(Contado o cheque)</t>
    </r>
  </si>
  <si>
    <t>https://www.alkosto.com/monitor-samsung-22-pulgadas-22f310-negro/p/198957224317</t>
  </si>
  <si>
    <t>Monitor Samsung 22" pulgadas 22F310 Negro</t>
  </si>
  <si>
    <t>CONTADO</t>
  </si>
  <si>
    <t>Resolución Full HD 1920 × 1080 píxeles, tiempo de respuesta de 5 ms, conectividad HDMI y VGA, tecnología LED de bajo consumo y modo Eye Saver para reducir la fatiga visual.</t>
  </si>
  <si>
    <t>K-TRONIX</t>
  </si>
  <si>
    <t>https://www.ktronix.com/monitor-acer-215-pulgadas-ek220q-fhd-plano-negro/p/4711121511011</t>
  </si>
  <si>
    <t>Monitor Acer 21.5 pulgadas modelo EK220Q con pantalla LED Full HD plana en color negro.</t>
  </si>
  <si>
    <t>Resolución Full HD 1920 × 1080 píxeles, tasa de refresco de 100 Hz, tiempo de respuesta de 4 ms, conectividad HDMI y VGA y tecnología Acer VisionCare para protección visual.</t>
  </si>
  <si>
    <t>Monitor Dahua De 21.5 Pulgadas 100Hz Hdmi &amp; Vga Marco Ultra Delgado Fullhd 178 Grados De Visualización</t>
  </si>
  <si>
    <t>Monitor Dahua 21.5 pulgadas con pantalla LED Full HD y diseño de marco ultra delgado en color negro.</t>
  </si>
  <si>
    <t>Resolución Full HD 1920 × 1080 píxeles, tasa de refresco de 100 Hz, ángulo de visión de 178°, conectividad HDMI y VGA y diseño ultra delgado.</t>
  </si>
  <si>
    <r>
      <rPr>
        <rFont val="Times New Roman"/>
        <b/>
        <color theme="1"/>
      </rPr>
      <t xml:space="preserve">Importe total
</t>
    </r>
    <r>
      <rPr>
        <rFont val="Times New Roman"/>
        <b/>
        <i/>
        <color theme="1"/>
        <sz val="8.0"/>
      </rPr>
      <t>(moneda extranjera)</t>
    </r>
  </si>
  <si>
    <r>
      <rPr>
        <rFont val="Times New Roman"/>
        <b/>
        <color theme="1"/>
      </rPr>
      <t xml:space="preserve">Forma de pago 
</t>
    </r>
    <r>
      <rPr>
        <rFont val="Times New Roman"/>
        <b/>
        <i/>
        <color theme="1"/>
        <sz val="8.0"/>
      </rPr>
      <t>(Contado o cheque)</t>
    </r>
  </si>
  <si>
    <t>Conexión Digital</t>
  </si>
  <si>
    <t>https://www.conexiondigital.co/planes/</t>
  </si>
  <si>
    <t>Plan de Internet</t>
  </si>
  <si>
    <t>16,39</t>
  </si>
  <si>
    <t>60479,1</t>
  </si>
  <si>
    <t>100Mbps</t>
  </si>
  <si>
    <t>Tigo</t>
  </si>
  <si>
    <t>https://www.tigo.com.co/internet/planes</t>
  </si>
  <si>
    <t>20,73</t>
  </si>
  <si>
    <t>76493,7</t>
  </si>
  <si>
    <t>500Mbps</t>
  </si>
  <si>
    <t>Claro</t>
  </si>
  <si>
    <t>https://contratarclaro.com.co/internet/</t>
  </si>
  <si>
    <t>12,28</t>
  </si>
  <si>
    <t>45313,2</t>
  </si>
  <si>
    <t>200Mbps</t>
  </si>
  <si>
    <r>
      <rPr>
        <rFont val="Times New Roman"/>
        <b/>
        <color theme="1"/>
      </rPr>
      <t xml:space="preserve">Importe total
</t>
    </r>
    <r>
      <rPr>
        <rFont val="Times New Roman"/>
        <b/>
        <i/>
        <color theme="1"/>
        <sz val="8.0"/>
      </rPr>
      <t>(moneda extranjera)</t>
    </r>
  </si>
  <si>
    <r>
      <rPr>
        <rFont val="Times New Roman"/>
        <b/>
        <color theme="1"/>
      </rPr>
      <t xml:space="preserve">Forma de pago 
</t>
    </r>
    <r>
      <rPr>
        <rFont val="Times New Roman"/>
        <b/>
        <i/>
        <color theme="1"/>
        <sz val="8.0"/>
      </rPr>
      <t>(Contado o cheque)</t>
    </r>
  </si>
  <si>
    <t>Revolution 
sfot Colombia</t>
  </si>
  <si>
    <t>https://n9.cl/rt0lo</t>
  </si>
  <si>
    <t xml:space="preserve">Licencia WINDOWS 11 PRO OEM para 1 PC
</t>
  </si>
  <si>
    <t>✔️ 1 Clave de activación de Windows 11 Pro para 1 dispositivo.
✔️ Garantía de por vida en tu licencia.
✔️ Licencia de por vida, actívala cuando quieras, no caduca.
✔️ Licencia válida para empresas y particulares. (válida para pasar auditorías).</t>
  </si>
  <si>
    <t>Tulicencias</t>
  </si>
  <si>
    <t>https://n9.cl/twe7d</t>
  </si>
  <si>
    <t xml:space="preserve">Windows 11 Pro OEM
</t>
  </si>
  <si>
    <t>✔Activación en línea
Con clave de 25 caracteres.
✔Licencia para 1 PC
Se puede reinstalar en el mismo PC.
✔ISO oficial de Microsoft
Link de descarga directo y guía enviados por correo.✔
Entrega digital por correo electrónico
Enviado inmediatamente tras la confirmación del pago.</t>
  </si>
  <si>
    <t xml:space="preserve">Alkosto </t>
  </si>
  <si>
    <t>https://acortar.link/of0SQy</t>
  </si>
  <si>
    <t>Pin Microsoft Windows Pro FPP 11 64-bit
 (Caja con USB de instalación)</t>
  </si>
  <si>
    <t>$1.090.000</t>
  </si>
  <si>
    <t>Contado / 
Crédito</t>
  </si>
  <si>
    <t>Licencia FPP (Retail) transferible. Incluye USB original y soporte de Microsoft.</t>
  </si>
  <si>
    <r>
      <rPr>
        <rFont val="Times New Roman"/>
        <b/>
        <color theme="1"/>
      </rPr>
      <t xml:space="preserve">Importe total
</t>
    </r>
    <r>
      <rPr>
        <rFont val="Times New Roman"/>
        <b/>
        <i/>
        <color theme="1"/>
        <sz val="8.0"/>
      </rPr>
      <t>(moneda extranjera)</t>
    </r>
  </si>
  <si>
    <r>
      <rPr>
        <rFont val="Times New Roman"/>
        <b/>
        <color theme="1"/>
      </rPr>
      <t xml:space="preserve">Forma de pago 
</t>
    </r>
    <r>
      <rPr>
        <rFont val="Times New Roman"/>
        <b/>
        <i/>
        <color theme="1"/>
        <sz val="8.0"/>
      </rPr>
      <t>(Contado o cheque)</t>
    </r>
  </si>
  <si>
    <t>Buho Digital</t>
  </si>
  <si>
    <t>https://buhodigitalcol.com/sql-server-2022/</t>
  </si>
  <si>
    <t>SQL Server Standart</t>
  </si>
  <si>
    <t>105,47</t>
  </si>
  <si>
    <t>- Producto 100% Original.
- Tiempo de entrega: Máximo 12 horas.
- Atención al cliente preferencial.
- Soporte Técnico en la instalación</t>
  </si>
  <si>
    <t>Revolutionsoft</t>
  </si>
  <si>
    <t>https://revolutionsoft.com.co/windows-server/sql-server-2022-standard.html</t>
  </si>
  <si>
    <t>SQL Server 2022 Standard Edition</t>
  </si>
  <si>
    <t>1.504.201</t>
  </si>
  <si>
    <t>1.790.000,00</t>
  </si>
  <si>
    <t>489,24</t>
  </si>
  <si>
    <t>1.805.295</t>
  </si>
  <si>
    <t xml:space="preserve">- Licencia de por vida, actívala cuando quieras, no caduca.                           
- Garantía de por vida en tu licencia.                                               
- Licencia válida para empresas, organismos públicos y particulares. (válida para pasar auditorías).
- Servicio de atención al cliente gratuito: ofrecemos el mejor soporte para nuestros clientes.
</t>
  </si>
  <si>
    <t>Licendi</t>
  </si>
  <si>
    <t>https://licendi.com/es/sql-server-2022-standard/?gad_campaignid=23547784964</t>
  </si>
  <si>
    <t>SQL Server 2022 Standard</t>
  </si>
  <si>
    <t>440,00</t>
  </si>
  <si>
    <t>1.623.600</t>
  </si>
  <si>
    <t>- Entrega Digital
- Garantia para la licencia
- Licencia válida para empresas, organismos públicos y particulares.</t>
  </si>
  <si>
    <r>
      <rPr>
        <rFont val="Times New Roman"/>
        <b/>
        <color theme="1"/>
      </rPr>
      <t xml:space="preserve">Importe total
</t>
    </r>
    <r>
      <rPr>
        <rFont val="Times New Roman"/>
        <b/>
        <i/>
        <color theme="1"/>
        <sz val="8.0"/>
      </rPr>
      <t>(moneda extranjera)</t>
    </r>
  </si>
  <si>
    <r>
      <rPr>
        <rFont val="Times New Roman"/>
        <b/>
        <color theme="1"/>
      </rPr>
      <t xml:space="preserve">Forma de pago 
</t>
    </r>
    <r>
      <rPr>
        <rFont val="Times New Roman"/>
        <b/>
        <i/>
        <color theme="1"/>
        <sz val="8.0"/>
      </rPr>
      <t>(Contado o cheque)</t>
    </r>
  </si>
  <si>
    <t>Búho Digital</t>
  </si>
  <si>
    <t>https://buho.la/cart.php?a=confproduct&amp;i=0</t>
  </si>
  <si>
    <t>Configuración de Servidores Cloud VPS - VPS Cloud ECO - E16</t>
  </si>
  <si>
    <t>$1.199.000,00</t>
  </si>
  <si>
    <t>8 Núcleos vCPU
16 GB Ram
160 GB Disco NVMe
20 TB Ancho de Banda
1 IP Dedicada
Acceso root/SSH
Dsto. en plan anual</t>
  </si>
  <si>
    <t>Web Hosting Plan Turbo</t>
  </si>
  <si>
    <t>https://surl.li/fnjnrr</t>
  </si>
  <si>
    <t>Plan Turbo de
 Web Hosting de
 HostGator Colombia, 
planes de alojamiento web</t>
  </si>
  <si>
    <t>hosting compartido premium ideal para sitios con alto tráfico, tiendas online o proyectos en crecimiento. Incluye sitios y dominios ilimitados, cuentas de correo ilimitadas, almacenamiento SSD rápido, 5 vCPU, hasta 50 conexiones simultáneas, panel de control cPanel, instalador de WordPress y otras aplicaciones, creador de sitios, certificado SSL gratuito, CDN, soporte 24/7 en español y garantía de reembolso de hasta 30 días. Ofrece mayor rendimiento que planes básicos y herramientas avanzadas para gestión y seguridad de tu sitio web.</t>
  </si>
  <si>
    <t>Plan Startup</t>
  </si>
  <si>
    <t>https://surl.lu/drbrbf</t>
  </si>
  <si>
    <t>Hosting compartido 
Startup de Hostinger</t>
  </si>
  <si>
    <t>Plan Startup de Hostinger: hosting compartido para sitios pequeños o medianos, incluye dominio gratis por 48 meses más 3 meses adicionales, con posibilidad de cancelar en cualquier momento, ahorro promocional de CO$ 3.600.000. El plan ofrece un ciclo de pago de CO$ 26.900/mes promocional, renovando a CO$ 94.900/mes después del primer año. Incluye también Email Marketing Hostinger Reach con IA, hasta 500 suscriptores y 3500 emails por mes, con pago anual de CO$ 82.800.</t>
  </si>
  <si>
    <t>Numero de personas</t>
  </si>
  <si>
    <t>Nombre</t>
  </si>
  <si>
    <t xml:space="preserve">
Telefono</t>
  </si>
  <si>
    <t>Rol</t>
  </si>
  <si>
    <t>Descripcion del rol</t>
  </si>
  <si>
    <t>Precio del servicio</t>
  </si>
  <si>
    <t>Erick Santiago Vasquez Reyes</t>
  </si>
  <si>
    <t>Product Owner / Líder</t>
  </si>
  <si>
    <t>Define qué funciones debe tener la app según lo que necesita la ferretería. 
Prioriza qué se programa primero y valida que el cliente esté satisfecho.</t>
  </si>
  <si>
    <t>Paula Alejandra Mora Montaña</t>
  </si>
  <si>
    <t>QA Engineer (Tester)</t>
  </si>
  <si>
    <t>Se dedica a intentar "romper" la app. Busca errores en el inventario 
o facturación antes de que el cliente los vea y garantiza la calidad final.</t>
  </si>
  <si>
    <t>$3.200.000,00</t>
  </si>
  <si>
    <t>Mariana Alejandra Martinez Duarte</t>
  </si>
  <si>
    <t>Desarrollador Fronted</t>
  </si>
  <si>
    <t>Crea la "cara" de la app. Diseña las pantallas, botones y formularios
 para que los cajeros y el dueño vean la información clara y bonita.</t>
  </si>
  <si>
    <t>N - 4</t>
  </si>
  <si>
    <t>Evert Arias Fragozo</t>
  </si>
  <si>
    <t>Desarrollador Backend</t>
  </si>
  <si>
    <t>Crea el "cerebro" y la base de datos. Programa la lógica de cálculos de inventario, 
seguridad de usuarios y la conexión con el servidor Dell.</t>
  </si>
  <si>
    <t>N - 5</t>
  </si>
  <si>
    <t>Manuel Esteban Vigoya Gonzalez</t>
  </si>
  <si>
    <t>DevOps / Infraestructura</t>
  </si>
  <si>
    <t>Se encarga de que la app funcione en los servidores. Configura Azure,
 IBM Cloud y asegura que el sistema sea rápido y nunca se caiga.</t>
  </si>
  <si>
    <t xml:space="preserve">   $3.320.738</t>
  </si>
  <si>
    <t>$15.020.738</t>
  </si>
  <si>
    <t>CUADRO RESUMEN - FICHA TECNICA</t>
  </si>
  <si>
    <t>Informacion general :     Este documento corresponde al cuadro resumen y ficha técnica del proyecto Kronos Inventory Control, en el cual se presentan los 
                                       diferentes recursos necesarios para su desarrollo, incluyendo hardware, software, conectividad, servidores y talento humano.</t>
  </si>
  <si>
    <t>Nombre del proyecto :   Kronos Inventory Control</t>
  </si>
  <si>
    <t>Fecha :   17 / 03 / 2026</t>
  </si>
  <si>
    <t>Responsables :    Evert Arias Fragoso 
                             Erick Santiago Vasquez Reyes
                             Paula Alejandra Mora Montaña
                             Manuel Esteban Vigota Gonzalez
                             Mariana Alejandra Martinez Duarte</t>
  </si>
  <si>
    <t xml:space="preserve">Objetivos del analisis :    Determinar el costo total de la infraestructura requerida </t>
  </si>
  <si>
    <t>Resumen por categoria</t>
  </si>
  <si>
    <t>Categoria</t>
  </si>
  <si>
    <t>Descripcion</t>
  </si>
  <si>
    <t>Cantidad</t>
  </si>
  <si>
    <t>Costo unitario</t>
  </si>
  <si>
    <t>Costo total</t>
  </si>
  <si>
    <t>Hardware</t>
  </si>
  <si>
    <t>1.  Teclado mecánico 
inalámbrico AULA F75 Pro.
2.  Mouse Gamer T-80 7200 DPI 
USB 7 Botones.
3.  Computador de escritorio 
Gamer 
4.  Monitor Samsung 22" pulgadas
 22F310 Negro</t>
  </si>
  <si>
    <t>1.  $ 252.365
2.  $ 43.900
3.  $ 2.747.058
4.  $ 369.930</t>
  </si>
  <si>
    <t>$3.413.253</t>
  </si>
  <si>
    <t>Software</t>
  </si>
  <si>
    <t>1.  Windows 11 Pro OEM
2.  SQL Server Standart</t>
  </si>
  <si>
    <t>1.  $ 39.900
2.  $ 324.285</t>
  </si>
  <si>
    <t>Conectividad</t>
  </si>
  <si>
    <t>Plan de Internet Claro 200Mbps</t>
  </si>
  <si>
    <t>1.  $ 37.773</t>
  </si>
  <si>
    <t>Servidores</t>
  </si>
  <si>
    <t>1.  $ 26.900</t>
  </si>
  <si>
    <t>Recurso Humano</t>
  </si>
  <si>
    <t>1.  Product Owner / Líder
2.  QA Engineer (Tester)
3.  Desarrollador Frontend
4.  Desarrollador Backend
5.  DevOps / Infraestructura</t>
  </si>
  <si>
    <t>1.  $ 5.400.000
2.  $ 3.200.000
3.  $ 3.100.000
4.  $ 3.200.000
5.  $ 3.320.738</t>
  </si>
  <si>
    <t>15.020.738</t>
  </si>
  <si>
    <t>Total General</t>
  </si>
  <si>
    <t>$18.461.292</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</si>
</sst>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quot;$&quot;#,##0.000"/>
    <numFmt numFmtId="165" formatCode="&quot;$&quot;#,##0.00"/>
    <numFmt numFmtId="166" formatCode="&quot;$&quot;#,##0"/>
  </numFmts>
  <fonts count="40">
    <font>
      <sz val="10.0"/>
      <color rgb="FF000000"/>
      <name val="Arial"/>
      <scheme val="minor"/>
    </font>
    <font>
      <b/>
      <color theme="1"/>
      <name val="Arial"/>
      <scheme val="minor"/>
    </font>
    <font>
      <b/>
      <color rgb="FFB7B7B7"/>
      <name val="Times New Roman"/>
    </font>
    <font/>
    <font>
      <b/>
      <color theme="1"/>
      <name val="Times New Roman"/>
    </font>
    <font>
      <color theme="1"/>
      <name val="Times New Roman"/>
    </font>
    <font>
      <u/>
      <color rgb="FF0000FF"/>
      <name val="Times New Roman"/>
    </font>
    <font>
      <u/>
      <color rgb="FF0000FF"/>
      <name val="Times New Roman"/>
    </font>
    <font>
      <color theme="1"/>
      <name val="Arial"/>
      <scheme val="minor"/>
    </font>
    <font>
      <u/>
      <color rgb="FF0000FF"/>
    </font>
    <font>
      <u/>
      <color rgb="FF0000FF"/>
      <name val="Times New Roman"/>
    </font>
    <font>
      <u/>
      <color rgb="FF0000FF"/>
      <name val="Times New Roman"/>
    </font>
    <font>
      <sz val="10.0"/>
      <color rgb="FF333333"/>
      <name val="Times New Roman"/>
    </font>
    <font>
      <sz val="10.0"/>
      <color rgb="FF444444"/>
      <name val="Times New Roman"/>
    </font>
    <font>
      <color theme="1"/>
      <name val="Arial"/>
    </font>
    <font>
      <b/>
      <sz val="18.0"/>
      <color rgb="FF444444"/>
      <name val="Inherit"/>
    </font>
    <font>
      <sz val="10.0"/>
      <color rgb="FF333333"/>
      <name val="Lato"/>
    </font>
    <font>
      <sz val="10.0"/>
      <color rgb="FF0F1111"/>
      <name val="Times New Roman"/>
    </font>
    <font>
      <color rgb="FF0F1111"/>
      <name val="Times New Roman"/>
    </font>
    <font>
      <u/>
      <color rgb="FF0000FF"/>
      <name val="Times New Roman"/>
    </font>
    <font>
      <sz val="10.0"/>
      <color rgb="FF000000"/>
      <name val="Times New Roman"/>
    </font>
    <font>
      <u/>
      <color rgb="FF0000FF"/>
      <name val="Times New Roman"/>
    </font>
    <font>
      <sz val="10.0"/>
      <color rgb="FF231F20"/>
      <name val="Times New Roman"/>
    </font>
    <font>
      <u/>
      <color rgb="FF0000FF"/>
      <name val="Times New Roman"/>
    </font>
    <font>
      <sz val="11.0"/>
      <color rgb="FF333333"/>
      <name val="Inherit"/>
    </font>
    <font>
      <sz val="10.0"/>
      <color rgb="FF253237"/>
      <name val="Times New Roman"/>
    </font>
    <font>
      <color rgb="FF000000"/>
      <name val="Times New Roman"/>
    </font>
    <font>
      <sz val="10.0"/>
      <color rgb="FF2E2E2E"/>
      <name val="Times New Roman"/>
    </font>
    <font>
      <color rgb="FF1155CC"/>
      <name val="Times New Roman"/>
    </font>
    <font>
      <color rgb="FF1F1F1F"/>
      <name val="Times New Roman"/>
    </font>
    <font>
      <sz val="10.0"/>
      <color rgb="FF333333"/>
      <name val="Inherit"/>
    </font>
    <font>
      <color rgb="FF000000"/>
      <name val="Arial"/>
    </font>
    <font>
      <sz val="10.0"/>
      <color rgb="FF000000"/>
      <name val="Arial"/>
    </font>
    <font>
      <sz val="10.0"/>
      <color rgb="FF091E42"/>
      <name val="Arial"/>
    </font>
    <font>
      <color rgb="FF1F1F1F"/>
      <name val="&quot;Google Sans Text&quot;"/>
    </font>
    <font>
      <b/>
      <color rgb="FF1F1F1F"/>
      <name val="&quot;Google Sans Text&quot;"/>
    </font>
    <font>
      <sz val="11.0"/>
      <color theme="1"/>
      <name val="Arial"/>
      <scheme val="minor"/>
    </font>
    <font>
      <sz val="13.0"/>
      <color theme="1"/>
      <name val="Arial"/>
      <scheme val="minor"/>
    </font>
    <font>
      <sz val="11.0"/>
      <color theme="1"/>
      <name val="&quot;Cambria&quot;"/>
    </font>
    <font>
      <sz val="10.0"/>
      <color theme="1"/>
      <name val="&quot;Cambria&quot;"/>
    </font>
  </fonts>
  <fills count="4">
    <fill>
      <patternFill patternType="none"/>
    </fill>
    <fill>
      <patternFill patternType="lightGray"/>
    </fill>
    <fill>
      <patternFill patternType="solid">
        <fgColor rgb="FFFFFFFF"/>
        <bgColor rgb="FFFFFFFF"/>
      </patternFill>
    </fill>
    <fill>
      <patternFill patternType="solid">
        <fgColor rgb="FFF3F3F3"/>
        <bgColor rgb="FFF3F3F3"/>
      </patternFill>
    </fill>
  </fills>
  <borders count="42">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top style="thin">
        <color rgb="FFD9D9D9"/>
      </top>
      <bottom style="thin">
        <color rgb="FFD9D9D9"/>
      </bottom>
    </border>
    <border>
      <left style="thin">
        <color rgb="FFD9D9D9"/>
      </left>
    </border>
    <border>
      <bottom style="thin">
        <color rgb="FFD9D9D9"/>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rgb="FF000000"/>
      </left>
    </border>
    <border>
      <right style="thick">
        <color rgb="FF000000"/>
      </right>
    </border>
    <border>
      <left style="thick">
        <color rgb="FF000000"/>
      </left>
      <bottom style="thin">
        <color rgb="FF000000"/>
      </bottom>
    </border>
    <border>
      <bottom style="thin">
        <color rgb="FF000000"/>
      </bottom>
    </border>
    <border>
      <right style="thick">
        <color rgb="FF000000"/>
      </right>
      <bottom style="thin">
        <color rgb="FF000000"/>
      </bottom>
    </border>
    <border>
      <left style="thick">
        <color rgb="FF000000"/>
      </left>
      <top style="thin">
        <color rgb="FF000000"/>
      </top>
    </border>
    <border>
      <top style="thin">
        <color rgb="FF000000"/>
      </top>
    </border>
    <border>
      <right style="thick">
        <color rgb="FF000000"/>
      </right>
      <top style="thin">
        <color rgb="FF000000"/>
      </top>
    </border>
    <border>
      <right style="thin">
        <color rgb="FF000000"/>
      </right>
    </border>
    <border>
      <left style="thin">
        <color rgb="FF000000"/>
      </left>
    </border>
    <border>
      <right style="thin">
        <color rgb="FF000000"/>
      </right>
      <bottom style="thin">
        <color rgb="FF000000"/>
      </bottom>
    </border>
    <border>
      <left style="thin">
        <color rgb="FF000000"/>
      </left>
      <bottom style="thin">
        <color rgb="FF000000"/>
      </bottom>
    </border>
    <border>
      <right style="thin">
        <color rgb="FF000000"/>
      </right>
      <top style="thin">
        <color rgb="FF000000"/>
      </top>
    </border>
    <border>
      <left style="thin">
        <color rgb="FF000000"/>
      </left>
      <top style="thin">
        <color rgb="FF000000"/>
      </top>
    </border>
    <border>
      <right style="thin">
        <color rgb="FF000000"/>
      </right>
      <bottom style="thick">
        <color rgb="FF000000"/>
      </bottom>
    </border>
    <border>
      <left style="thin">
        <color rgb="FF000000"/>
      </left>
      <bottom style="thick">
        <color rgb="FF000000"/>
      </bottom>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horizontal="center" readingOrder="0"/>
    </xf>
    <xf borderId="2" fillId="0" fontId="3" numFmtId="0" xfId="0" applyBorder="1" applyFont="1"/>
    <xf borderId="3" fillId="0" fontId="3" numFmtId="0" xfId="0" applyBorder="1" applyFont="1"/>
    <xf borderId="4" fillId="3" fontId="4" numFmtId="0" xfId="0" applyAlignment="1" applyBorder="1" applyFill="1" applyFont="1">
      <alignment horizontal="center" readingOrder="0" vertical="center"/>
    </xf>
    <xf borderId="5" fillId="3" fontId="4" numFmtId="0" xfId="0" applyAlignment="1" applyBorder="1" applyFont="1">
      <alignment horizontal="center" readingOrder="0" shrinkToFit="0" vertical="center" wrapText="0"/>
    </xf>
    <xf borderId="5" fillId="3" fontId="4" numFmtId="0" xfId="0" applyAlignment="1" applyBorder="1" applyFont="1">
      <alignment horizontal="center" readingOrder="0" vertical="center"/>
    </xf>
    <xf borderId="6" fillId="3" fontId="4" numFmtId="0" xfId="0" applyAlignment="1" applyBorder="1" applyFont="1">
      <alignment horizontal="center" readingOrder="0" vertical="center"/>
    </xf>
    <xf borderId="7" fillId="0" fontId="5" numFmtId="0" xfId="0" applyAlignment="1" applyBorder="1" applyFont="1">
      <alignment readingOrder="0"/>
    </xf>
    <xf borderId="8" fillId="0" fontId="5" numFmtId="0" xfId="0" applyAlignment="1" applyBorder="1" applyFont="1">
      <alignment horizontal="center" readingOrder="0" vertical="center"/>
    </xf>
    <xf borderId="8" fillId="0" fontId="6" numFmtId="0" xfId="0" applyAlignment="1" applyBorder="1" applyFont="1">
      <alignment horizontal="center" readingOrder="0" vertical="center"/>
    </xf>
    <xf borderId="8" fillId="0" fontId="5" numFmtId="164" xfId="0" applyAlignment="1" applyBorder="1" applyFont="1" applyNumberFormat="1">
      <alignment horizontal="center" readingOrder="0" vertical="center"/>
    </xf>
    <xf borderId="0" fillId="0" fontId="5" numFmtId="165" xfId="0" applyAlignment="1" applyFont="1" applyNumberFormat="1">
      <alignment horizontal="center" readingOrder="0" vertical="center"/>
    </xf>
    <xf borderId="9" fillId="0" fontId="5" numFmtId="0" xfId="0" applyAlignment="1" applyBorder="1" applyFont="1">
      <alignment horizontal="center" readingOrder="0" vertical="center"/>
    </xf>
    <xf borderId="8" fillId="0" fontId="5" numFmtId="165" xfId="0" applyAlignment="1" applyBorder="1" applyFont="1" applyNumberFormat="1">
      <alignment horizontal="center" readingOrder="0" vertical="center"/>
    </xf>
    <xf borderId="10" fillId="0" fontId="5" numFmtId="0" xfId="0" applyAlignment="1" applyBorder="1" applyFont="1">
      <alignment readingOrder="0"/>
    </xf>
    <xf borderId="11" fillId="0" fontId="5" numFmtId="0" xfId="0" applyAlignment="1" applyBorder="1" applyFont="1">
      <alignment horizontal="center" readingOrder="0" vertical="center"/>
    </xf>
    <xf borderId="11" fillId="0" fontId="7" numFmtId="0" xfId="0" applyAlignment="1" applyBorder="1" applyFont="1">
      <alignment horizontal="center" readingOrder="0" vertical="center"/>
    </xf>
    <xf borderId="11" fillId="0" fontId="5" numFmtId="164" xfId="0" applyAlignment="1" applyBorder="1" applyFont="1" applyNumberFormat="1">
      <alignment horizontal="center" readingOrder="0" vertical="center"/>
    </xf>
    <xf borderId="11" fillId="0" fontId="5" numFmtId="165" xfId="0" applyAlignment="1" applyBorder="1" applyFont="1" applyNumberFormat="1">
      <alignment horizontal="center" readingOrder="0" vertical="center"/>
    </xf>
    <xf borderId="12" fillId="0" fontId="5" numFmtId="0" xfId="0" applyAlignment="1" applyBorder="1" applyFont="1">
      <alignment horizontal="center" readingOrder="0" vertical="center"/>
    </xf>
    <xf borderId="0" fillId="0" fontId="8" numFmtId="0" xfId="0" applyAlignment="1" applyFont="1">
      <alignment readingOrder="0"/>
    </xf>
    <xf borderId="13" fillId="3" fontId="5" numFmtId="0" xfId="0" applyAlignment="1" applyBorder="1" applyFont="1">
      <alignment horizontal="center" readingOrder="0" vertical="center"/>
    </xf>
    <xf borderId="13" fillId="3" fontId="5" numFmtId="0" xfId="0" applyAlignment="1" applyBorder="1" applyFont="1">
      <alignment horizontal="center" readingOrder="0" shrinkToFit="0" vertical="center" wrapText="0"/>
    </xf>
    <xf borderId="13" fillId="0" fontId="5" numFmtId="0" xfId="0" applyAlignment="1" applyBorder="1" applyFont="1">
      <alignment readingOrder="0"/>
    </xf>
    <xf borderId="13" fillId="0" fontId="5" numFmtId="0" xfId="0" applyAlignment="1" applyBorder="1" applyFont="1">
      <alignment horizontal="center" readingOrder="0" vertical="center"/>
    </xf>
    <xf borderId="13" fillId="0" fontId="9" numFmtId="0" xfId="0" applyAlignment="1" applyBorder="1" applyFont="1">
      <alignment horizontal="center" readingOrder="0"/>
    </xf>
    <xf borderId="13" fillId="0" fontId="5" numFmtId="0" xfId="0" applyAlignment="1" applyBorder="1" applyFont="1">
      <alignment horizontal="center" readingOrder="0" shrinkToFit="0" vertical="center" wrapText="1"/>
    </xf>
    <xf borderId="13" fillId="0" fontId="5" numFmtId="164" xfId="0" applyAlignment="1" applyBorder="1" applyFont="1" applyNumberFormat="1">
      <alignment horizontal="center" readingOrder="0" vertical="center"/>
    </xf>
    <xf borderId="13" fillId="0" fontId="5" numFmtId="165" xfId="0" applyAlignment="1" applyBorder="1" applyFont="1" applyNumberFormat="1">
      <alignment horizontal="center" readingOrder="0" vertical="center"/>
    </xf>
    <xf borderId="13" fillId="0" fontId="10" numFmtId="0" xfId="0" applyAlignment="1" applyBorder="1" applyFont="1">
      <alignment horizontal="center" readingOrder="0" vertical="center"/>
    </xf>
    <xf borderId="13" fillId="0" fontId="8" numFmtId="0" xfId="0" applyAlignment="1" applyBorder="1" applyFont="1">
      <alignment readingOrder="0" shrinkToFit="0" wrapText="1"/>
    </xf>
    <xf borderId="13" fillId="0" fontId="8" numFmtId="0" xfId="0" applyBorder="1" applyFont="1"/>
    <xf borderId="0" fillId="0" fontId="8" numFmtId="0" xfId="0" applyAlignment="1" applyFont="1">
      <alignment horizontal="center"/>
    </xf>
    <xf borderId="14" fillId="3" fontId="4" numFmtId="0" xfId="0" applyAlignment="1" applyBorder="1" applyFont="1">
      <alignment horizontal="center"/>
    </xf>
    <xf borderId="15" fillId="3" fontId="4" numFmtId="0" xfId="0" applyAlignment="1" applyBorder="1" applyFont="1">
      <alignment horizontal="center"/>
    </xf>
    <xf borderId="15" fillId="3" fontId="4" numFmtId="0" xfId="0" applyAlignment="1" applyBorder="1" applyFont="1">
      <alignment horizontal="center" readingOrder="0"/>
    </xf>
    <xf borderId="16" fillId="3" fontId="4" numFmtId="0" xfId="0" applyAlignment="1" applyBorder="1" applyFont="1">
      <alignment horizontal="center"/>
    </xf>
    <xf borderId="7" fillId="0" fontId="5" numFmtId="0" xfId="0" applyAlignment="1" applyBorder="1" applyFont="1">
      <alignment horizontal="center" vertical="center"/>
    </xf>
    <xf borderId="8" fillId="0" fontId="11" numFmtId="0" xfId="0" applyAlignment="1" applyBorder="1" applyFont="1">
      <alignment horizontal="center" readingOrder="0" shrinkToFit="0" vertical="center" wrapText="1"/>
    </xf>
    <xf borderId="0" fillId="2" fontId="12" numFmtId="0" xfId="0" applyAlignment="1" applyFont="1">
      <alignment horizontal="center" readingOrder="0" shrinkToFit="0" vertical="center" wrapText="1"/>
    </xf>
    <xf borderId="8" fillId="0" fontId="5" numFmtId="166" xfId="0" applyAlignment="1" applyBorder="1" applyFont="1" applyNumberFormat="1">
      <alignment horizontal="center" readingOrder="0" vertical="center"/>
    </xf>
    <xf borderId="9" fillId="2" fontId="12" numFmtId="0" xfId="0" applyAlignment="1" applyBorder="1" applyFont="1">
      <alignment horizontal="center" readingOrder="0" shrinkToFit="0" vertical="center" wrapText="1"/>
    </xf>
    <xf borderId="10" fillId="0" fontId="5" numFmtId="0" xfId="0" applyAlignment="1" applyBorder="1" applyFont="1">
      <alignment horizontal="center" vertical="center"/>
    </xf>
    <xf borderId="11" fillId="2" fontId="13" numFmtId="0" xfId="0" applyAlignment="1" applyBorder="1" applyFont="1">
      <alignment horizontal="center" readingOrder="0" vertical="center"/>
    </xf>
    <xf borderId="11" fillId="0" fontId="5" numFmtId="166" xfId="0" applyAlignment="1" applyBorder="1" applyFont="1" applyNumberFormat="1">
      <alignment horizontal="center" readingOrder="0" vertical="center"/>
    </xf>
    <xf borderId="12" fillId="2" fontId="12" numFmtId="0" xfId="0" applyAlignment="1" applyBorder="1" applyFont="1">
      <alignment horizontal="center" readingOrder="0" shrinkToFit="0" vertical="center" wrapText="1"/>
    </xf>
    <xf borderId="0" fillId="0" fontId="14" numFmtId="0" xfId="0" applyAlignment="1" applyFont="1">
      <alignment vertical="bottom"/>
    </xf>
    <xf borderId="0" fillId="2" fontId="15" numFmtId="0" xfId="0" applyFont="1"/>
    <xf borderId="0" fillId="2" fontId="16" numFmtId="0" xfId="0" applyAlignment="1" applyFont="1">
      <alignment horizontal="left" readingOrder="0" shrinkToFit="0" wrapText="1"/>
    </xf>
    <xf borderId="14" fillId="3" fontId="4" numFmtId="0" xfId="0" applyAlignment="1" applyBorder="1" applyFont="1">
      <alignment horizontal="center" readingOrder="0" vertical="center"/>
    </xf>
    <xf borderId="15" fillId="3" fontId="4" numFmtId="0" xfId="0" applyAlignment="1" applyBorder="1" applyFont="1">
      <alignment horizontal="center" readingOrder="0" shrinkToFit="0" vertical="center" wrapText="0"/>
    </xf>
    <xf borderId="15" fillId="3" fontId="4" numFmtId="0" xfId="0" applyAlignment="1" applyBorder="1" applyFont="1">
      <alignment horizontal="center" readingOrder="0" vertical="center"/>
    </xf>
    <xf borderId="16" fillId="3" fontId="4" numFmtId="0" xfId="0" applyAlignment="1" applyBorder="1" applyFont="1">
      <alignment horizontal="center" readingOrder="0" vertical="center"/>
    </xf>
    <xf borderId="8" fillId="0" fontId="5" numFmtId="0" xfId="0" applyAlignment="1" applyBorder="1" applyFont="1">
      <alignment horizontal="center" readingOrder="0" shrinkToFit="0" vertical="center" wrapText="1"/>
    </xf>
    <xf borderId="8" fillId="2" fontId="17" numFmtId="166" xfId="0" applyAlignment="1" applyBorder="1" applyFont="1" applyNumberFormat="1">
      <alignment horizontal="center" readingOrder="0" vertical="center"/>
    </xf>
    <xf borderId="9" fillId="2" fontId="18" numFmtId="0" xfId="0" applyAlignment="1" applyBorder="1" applyFont="1">
      <alignment readingOrder="0" shrinkToFit="0" wrapText="1"/>
    </xf>
    <xf borderId="17" fillId="0" fontId="8" numFmtId="0" xfId="0" applyAlignment="1" applyBorder="1" applyFont="1">
      <alignment horizontal="center" readingOrder="0" shrinkToFit="0" vertical="center" wrapText="1"/>
    </xf>
    <xf borderId="18" fillId="0" fontId="8" numFmtId="0" xfId="0" applyBorder="1" applyFont="1"/>
    <xf borderId="8" fillId="0" fontId="19" numFmtId="0" xfId="0" applyAlignment="1" applyBorder="1" applyFont="1">
      <alignment horizontal="center" readingOrder="0" shrinkToFit="0" vertical="center" wrapText="1"/>
    </xf>
    <xf borderId="8" fillId="2" fontId="20" numFmtId="166" xfId="0" applyAlignment="1" applyBorder="1" applyFont="1" applyNumberFormat="1">
      <alignment horizontal="center" readingOrder="0" vertical="center"/>
    </xf>
    <xf borderId="9" fillId="2" fontId="20" numFmtId="0" xfId="0" applyAlignment="1" applyBorder="1" applyFont="1">
      <alignment readingOrder="0" shrinkToFit="0" vertical="center" wrapText="1"/>
    </xf>
    <xf borderId="19" fillId="0" fontId="8" numFmtId="0" xfId="0" applyAlignment="1" applyBorder="1" applyFont="1">
      <alignment horizontal="center" readingOrder="0" shrinkToFit="0" vertical="center" wrapText="1"/>
    </xf>
    <xf borderId="11" fillId="0" fontId="21"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11" fillId="0" fontId="22" numFmtId="165" xfId="0" applyAlignment="1" applyBorder="1" applyFont="1" applyNumberFormat="1">
      <alignment horizontal="center" readingOrder="0" vertical="center"/>
    </xf>
    <xf borderId="12" fillId="0" fontId="22" numFmtId="0" xfId="0" applyAlignment="1" applyBorder="1" applyFont="1">
      <alignment horizontal="center" readingOrder="0" shrinkToFit="0" vertical="center" wrapText="1"/>
    </xf>
    <xf borderId="7" fillId="0" fontId="5" numFmtId="0" xfId="0" applyAlignment="1" applyBorder="1" applyFont="1">
      <alignment horizontal="center" readingOrder="0" shrinkToFit="0" vertical="center" wrapText="1"/>
    </xf>
    <xf borderId="8" fillId="0" fontId="5" numFmtId="0" xfId="0" applyAlignment="1" applyBorder="1" applyFont="1">
      <alignment readingOrder="0" shrinkToFit="0" vertical="center" wrapText="1"/>
    </xf>
    <xf borderId="8" fillId="0" fontId="5" numFmtId="0" xfId="0" applyAlignment="1" applyBorder="1" applyFont="1">
      <alignment horizontal="center" vertical="center"/>
    </xf>
    <xf borderId="9" fillId="0" fontId="5" numFmtId="0" xfId="0" applyAlignment="1" applyBorder="1" applyFont="1">
      <alignment readingOrder="0" shrinkToFit="0" vertical="center" wrapText="1"/>
    </xf>
    <xf borderId="7" fillId="0" fontId="5" numFmtId="0" xfId="0" applyAlignment="1" applyBorder="1" applyFont="1">
      <alignment horizontal="center" readingOrder="0" vertical="center"/>
    </xf>
    <xf borderId="9" fillId="0" fontId="5" numFmtId="0" xfId="0" applyAlignment="1" applyBorder="1" applyFont="1">
      <alignment readingOrder="0" shrinkToFit="0" wrapText="1"/>
    </xf>
    <xf borderId="10" fillId="0" fontId="5" numFmtId="0" xfId="0" applyAlignment="1" applyBorder="1" applyFont="1">
      <alignment horizontal="center" readingOrder="0" vertical="center"/>
    </xf>
    <xf borderId="11" fillId="0" fontId="5" numFmtId="0" xfId="0" applyAlignment="1" applyBorder="1" applyFont="1">
      <alignment readingOrder="0" shrinkToFit="0" vertical="center" wrapText="1"/>
    </xf>
    <xf borderId="11" fillId="0" fontId="5" numFmtId="0" xfId="0" applyAlignment="1" applyBorder="1" applyFont="1">
      <alignment horizontal="center" vertical="center"/>
    </xf>
    <xf borderId="12" fillId="0" fontId="5" numFmtId="0" xfId="0" applyAlignment="1" applyBorder="1" applyFont="1">
      <alignment horizontal="center" readingOrder="0" shrinkToFit="0" vertical="center" wrapText="1"/>
    </xf>
    <xf borderId="8" fillId="0" fontId="5" numFmtId="4" xfId="0" applyAlignment="1" applyBorder="1" applyFont="1" applyNumberFormat="1">
      <alignment horizontal="center" readingOrder="0" vertical="center"/>
    </xf>
    <xf borderId="11" fillId="0" fontId="23" numFmtId="0" xfId="0" applyAlignment="1" applyBorder="1" applyFont="1">
      <alignment horizontal="center" readingOrder="0" shrinkToFit="0" vertical="center" wrapText="1"/>
    </xf>
    <xf borderId="11" fillId="0" fontId="5" numFmtId="4" xfId="0" applyAlignment="1" applyBorder="1" applyFont="1" applyNumberFormat="1">
      <alignment horizontal="center" readingOrder="0" vertical="center"/>
    </xf>
    <xf borderId="0" fillId="0" fontId="8" numFmtId="4" xfId="0" applyFont="1" applyNumberFormat="1"/>
    <xf borderId="8" fillId="2" fontId="12" numFmtId="0" xfId="0" applyAlignment="1" applyBorder="1" applyFont="1">
      <alignment horizontal="center" readingOrder="0" shrinkToFit="0" vertical="center" wrapText="1"/>
    </xf>
    <xf borderId="7" fillId="0" fontId="5" numFmtId="0" xfId="0" applyAlignment="1" applyBorder="1" applyFont="1">
      <alignment vertical="center"/>
    </xf>
    <xf borderId="8" fillId="2" fontId="20" numFmtId="166" xfId="0" applyAlignment="1" applyBorder="1" applyFont="1" applyNumberFormat="1">
      <alignment horizontal="center" readingOrder="0" vertical="center"/>
    </xf>
    <xf borderId="9" fillId="2" fontId="12" numFmtId="0" xfId="0" applyAlignment="1" applyBorder="1" applyFont="1">
      <alignment horizontal="left" readingOrder="0" vertical="center"/>
    </xf>
    <xf borderId="0" fillId="2" fontId="24" numFmtId="0" xfId="0" applyAlignment="1" applyFont="1">
      <alignment horizontal="left" readingOrder="0"/>
    </xf>
    <xf borderId="8" fillId="0" fontId="25" numFmtId="0" xfId="0" applyAlignment="1" applyBorder="1" applyFont="1">
      <alignment horizontal="center" readingOrder="0" vertical="center"/>
    </xf>
    <xf borderId="8" fillId="0" fontId="20" numFmtId="165" xfId="0" applyAlignment="1" applyBorder="1" applyFont="1" applyNumberFormat="1">
      <alignment horizontal="center" readingOrder="0" vertical="center"/>
    </xf>
    <xf borderId="9" fillId="0" fontId="26" numFmtId="0" xfId="0" applyAlignment="1" applyBorder="1" applyFont="1">
      <alignment readingOrder="0" shrinkToFit="0" vertical="center" wrapText="1"/>
    </xf>
    <xf borderId="10" fillId="0" fontId="5" numFmtId="0" xfId="0" applyAlignment="1" applyBorder="1" applyFont="1">
      <alignment vertical="center"/>
    </xf>
    <xf borderId="11" fillId="2" fontId="27" numFmtId="0" xfId="0" applyAlignment="1" applyBorder="1" applyFont="1">
      <alignment horizontal="center" readingOrder="0" vertical="center"/>
    </xf>
    <xf borderId="12" fillId="2" fontId="20" numFmtId="0" xfId="0" applyAlignment="1" applyBorder="1" applyFont="1">
      <alignment horizontal="left" readingOrder="0" shrinkToFit="0" vertical="center" wrapText="1"/>
    </xf>
    <xf borderId="8" fillId="3" fontId="4" numFmtId="0" xfId="0" applyAlignment="1" applyBorder="1" applyFont="1">
      <alignment horizontal="center"/>
    </xf>
    <xf borderId="8" fillId="3" fontId="4" numFmtId="0" xfId="0" applyAlignment="1" applyBorder="1" applyFont="1">
      <alignment horizontal="center" readingOrder="0"/>
    </xf>
    <xf borderId="8" fillId="0" fontId="28" numFmtId="0" xfId="0" applyAlignment="1" applyBorder="1" applyFont="1">
      <alignment horizontal="center" readingOrder="0" vertical="center"/>
    </xf>
    <xf borderId="8" fillId="2" fontId="13" numFmtId="0" xfId="0" applyAlignment="1" applyBorder="1" applyFont="1">
      <alignment horizontal="center" readingOrder="0" vertical="center"/>
    </xf>
    <xf borderId="0" fillId="3" fontId="4" numFmtId="0" xfId="0" applyAlignment="1" applyFont="1">
      <alignment horizontal="center"/>
    </xf>
    <xf borderId="0" fillId="3" fontId="4" numFmtId="0" xfId="0" applyAlignment="1" applyFont="1">
      <alignment horizontal="center" readingOrder="0"/>
    </xf>
    <xf borderId="0" fillId="0" fontId="5" numFmtId="0" xfId="0" applyAlignment="1" applyFont="1">
      <alignment horizontal="center" vertical="center"/>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5" numFmtId="166" xfId="0" applyAlignment="1" applyFont="1" applyNumberFormat="1">
      <alignment horizontal="center" readingOrder="0" vertical="center"/>
    </xf>
    <xf borderId="0" fillId="0" fontId="5" numFmtId="0" xfId="0" applyAlignment="1" applyFont="1">
      <alignment horizontal="center" readingOrder="0" vertical="center"/>
    </xf>
    <xf borderId="0" fillId="2" fontId="13" numFmtId="0" xfId="0" applyAlignment="1" applyFont="1">
      <alignment horizontal="center" readingOrder="0" vertical="center"/>
    </xf>
    <xf borderId="0" fillId="0" fontId="5" numFmtId="164" xfId="0" applyAlignment="1" applyFont="1" applyNumberFormat="1">
      <alignment horizontal="center" readingOrder="0" vertical="center"/>
    </xf>
    <xf borderId="0" fillId="0" fontId="5" numFmtId="0" xfId="0" applyFont="1"/>
    <xf borderId="0" fillId="0" fontId="29" numFmtId="0" xfId="0" applyAlignment="1" applyFont="1">
      <alignment readingOrder="0"/>
    </xf>
    <xf borderId="0" fillId="0" fontId="5" numFmtId="0" xfId="0" applyAlignment="1" applyFont="1">
      <alignment readingOrder="0"/>
    </xf>
    <xf borderId="0" fillId="0" fontId="5" numFmtId="0" xfId="0" applyAlignment="1" applyFont="1">
      <alignment readingOrder="0"/>
    </xf>
    <xf borderId="0" fillId="0" fontId="29" numFmtId="165" xfId="0" applyAlignment="1" applyFont="1" applyNumberFormat="1">
      <alignment readingOrder="0"/>
    </xf>
    <xf borderId="0" fillId="0" fontId="5" numFmtId="165" xfId="0" applyAlignment="1" applyFont="1" applyNumberFormat="1">
      <alignment readingOrder="0"/>
    </xf>
    <xf borderId="0" fillId="0" fontId="14" numFmtId="0" xfId="0" applyAlignment="1" applyFont="1">
      <alignment horizontal="center" vertical="center"/>
    </xf>
    <xf borderId="0" fillId="0" fontId="14" numFmtId="0" xfId="0" applyAlignment="1" applyFont="1">
      <alignment horizontal="center"/>
    </xf>
    <xf borderId="4" fillId="0" fontId="5" numFmtId="0" xfId="0" applyAlignment="1" applyBorder="1" applyFont="1">
      <alignment vertical="center"/>
    </xf>
    <xf borderId="5" fillId="0" fontId="5" numFmtId="0" xfId="0" applyAlignment="1" applyBorder="1" applyFont="1">
      <alignment horizontal="center" readingOrder="0" vertical="center"/>
    </xf>
    <xf borderId="5" fillId="0" fontId="5" numFmtId="0" xfId="0" applyAlignment="1" applyBorder="1" applyFont="1">
      <alignment horizontal="center" readingOrder="0" shrinkToFit="0" vertical="center" wrapText="1"/>
    </xf>
    <xf borderId="5" fillId="0" fontId="5" numFmtId="0" xfId="0" applyAlignment="1" applyBorder="1" applyFont="1">
      <alignment readingOrder="0" vertical="center"/>
    </xf>
    <xf borderId="5" fillId="0" fontId="5" numFmtId="166" xfId="0" applyAlignment="1" applyBorder="1" applyFont="1" applyNumberFormat="1">
      <alignment horizontal="center" readingOrder="0" vertical="center"/>
    </xf>
    <xf borderId="6" fillId="2" fontId="20" numFmtId="166" xfId="0" applyAlignment="1" applyBorder="1" applyFont="1" applyNumberFormat="1">
      <alignment horizontal="center" readingOrder="0" vertical="center"/>
    </xf>
    <xf borderId="0" fillId="0" fontId="14" numFmtId="166" xfId="0" applyAlignment="1" applyFont="1" applyNumberFormat="1">
      <alignment horizontal="center" readingOrder="0" vertical="center"/>
    </xf>
    <xf borderId="0" fillId="0" fontId="14" numFmtId="0" xfId="0" applyAlignment="1" applyFont="1">
      <alignment horizontal="center" readingOrder="0" vertical="center"/>
    </xf>
    <xf borderId="0" fillId="2" fontId="30" numFmtId="0" xfId="0" applyAlignment="1" applyFont="1">
      <alignment horizontal="left" readingOrder="0" vertical="center"/>
    </xf>
    <xf borderId="8" fillId="0" fontId="29" numFmtId="0" xfId="0" applyAlignment="1" applyBorder="1" applyFont="1">
      <alignment readingOrder="0" vertical="center"/>
    </xf>
    <xf borderId="9" fillId="0" fontId="20" numFmtId="165" xfId="0" applyAlignment="1" applyBorder="1" applyFont="1" applyNumberFormat="1">
      <alignment horizontal="center" readingOrder="0" vertical="center"/>
    </xf>
    <xf borderId="0" fillId="0" fontId="31" numFmtId="0" xfId="0" applyAlignment="1" applyFont="1">
      <alignment readingOrder="0" shrinkToFit="0" vertical="center" wrapText="1"/>
    </xf>
    <xf borderId="8" fillId="0" fontId="5" numFmtId="0" xfId="0" applyAlignment="1" applyBorder="1" applyFont="1">
      <alignment horizontal="center" readingOrder="0" shrinkToFit="0" vertical="center" wrapText="1"/>
    </xf>
    <xf borderId="8" fillId="0" fontId="5" numFmtId="165" xfId="0" applyAlignment="1" applyBorder="1" applyFont="1" applyNumberFormat="1">
      <alignment horizontal="center" readingOrder="0" vertical="center"/>
    </xf>
    <xf borderId="9" fillId="0" fontId="5" numFmtId="166" xfId="0" applyAlignment="1" applyBorder="1" applyFont="1" applyNumberFormat="1">
      <alignment horizontal="center" readingOrder="0" vertical="center"/>
    </xf>
    <xf borderId="0" fillId="2" fontId="32" numFmtId="0" xfId="0" applyAlignment="1" applyFont="1">
      <alignment horizontal="left" readingOrder="0" shrinkToFit="0" vertical="center" wrapText="1"/>
    </xf>
    <xf borderId="7" fillId="0" fontId="5" numFmtId="0" xfId="0" applyAlignment="1" applyBorder="1" applyFont="1">
      <alignment readingOrder="0" vertical="center"/>
    </xf>
    <xf borderId="10" fillId="0" fontId="5" numFmtId="0" xfId="0" applyAlignment="1" applyBorder="1" applyFont="1">
      <alignment readingOrder="0" vertical="center"/>
    </xf>
    <xf borderId="11" fillId="0" fontId="5" numFmtId="0" xfId="0" applyAlignment="1" applyBorder="1" applyFont="1">
      <alignment readingOrder="0" vertical="center"/>
    </xf>
    <xf borderId="11" fillId="0" fontId="29" numFmtId="0" xfId="0" applyAlignment="1" applyBorder="1" applyFont="1">
      <alignment readingOrder="0" vertical="center"/>
    </xf>
    <xf borderId="12" fillId="0" fontId="5" numFmtId="165" xfId="0" applyAlignment="1" applyBorder="1" applyFont="1" applyNumberFormat="1">
      <alignment horizontal="center" readingOrder="0" vertical="center"/>
    </xf>
    <xf borderId="0" fillId="0" fontId="8" numFmtId="0" xfId="0" applyAlignment="1" applyFont="1">
      <alignment horizontal="center" readingOrder="0" vertical="center"/>
    </xf>
    <xf borderId="0" fillId="2" fontId="33" numFmtId="0" xfId="0" applyAlignment="1" applyFont="1">
      <alignment readingOrder="0" shrinkToFit="0" vertical="center" wrapText="1"/>
    </xf>
    <xf borderId="0" fillId="0" fontId="5" numFmtId="0" xfId="0" applyAlignment="1" applyFont="1">
      <alignment vertical="center"/>
    </xf>
    <xf borderId="0" fillId="0" fontId="5" numFmtId="165" xfId="0" applyAlignment="1" applyFont="1" applyNumberFormat="1">
      <alignment readingOrder="0" vertical="center"/>
    </xf>
    <xf borderId="0" fillId="0" fontId="8" numFmtId="0" xfId="0" applyAlignment="1" applyFont="1">
      <alignment vertical="center"/>
    </xf>
    <xf borderId="0" fillId="0" fontId="8" numFmtId="165" xfId="0" applyAlignment="1" applyFont="1" applyNumberFormat="1">
      <alignment readingOrder="0" vertical="center"/>
    </xf>
    <xf borderId="0" fillId="0" fontId="34" numFmtId="0" xfId="0" applyAlignment="1" applyFont="1">
      <alignment readingOrder="0"/>
    </xf>
    <xf borderId="0" fillId="0" fontId="35" numFmtId="0" xfId="0" applyAlignment="1" applyFont="1">
      <alignment readingOrder="0"/>
    </xf>
    <xf borderId="0" fillId="3" fontId="8" numFmtId="0" xfId="0" applyFont="1"/>
    <xf borderId="0" fillId="2" fontId="8" numFmtId="0" xfId="0" applyFont="1"/>
    <xf borderId="0" fillId="2" fontId="36" numFmtId="0" xfId="0" applyAlignment="1" applyFont="1">
      <alignment horizontal="center" readingOrder="0" vertical="center"/>
    </xf>
    <xf borderId="20" fillId="2" fontId="36" numFmtId="0" xfId="0" applyAlignment="1" applyBorder="1" applyFont="1">
      <alignment horizontal="center" readingOrder="0" vertical="center"/>
    </xf>
    <xf borderId="21" fillId="0" fontId="3" numFmtId="0" xfId="0" applyBorder="1" applyFont="1"/>
    <xf borderId="22" fillId="0" fontId="3" numFmtId="0" xfId="0" applyBorder="1" applyFont="1"/>
    <xf borderId="23" fillId="0" fontId="3" numFmtId="0" xfId="0" applyBorder="1" applyFont="1"/>
    <xf borderId="24" fillId="0" fontId="3" numFmtId="0" xfId="0" applyBorder="1" applyFont="1"/>
    <xf borderId="25" fillId="0" fontId="3" numFmtId="0" xfId="0" applyBorder="1" applyFont="1"/>
    <xf borderId="0" fillId="2" fontId="8" numFmtId="0" xfId="0" applyAlignment="1" applyFont="1">
      <alignment readingOrder="0" vertical="center"/>
    </xf>
    <xf borderId="26" fillId="2" fontId="8" numFmtId="0" xfId="0" applyAlignment="1" applyBorder="1" applyFont="1">
      <alignment readingOrder="0" vertical="center"/>
    </xf>
    <xf borderId="27" fillId="0" fontId="3" numFmtId="0" xfId="0" applyBorder="1" applyFont="1"/>
    <xf borderId="28" fillId="0" fontId="3" numFmtId="0" xfId="0" applyBorder="1" applyFont="1"/>
    <xf borderId="29" fillId="0" fontId="3" numFmtId="0" xfId="0" applyBorder="1" applyFont="1"/>
    <xf borderId="30" fillId="0" fontId="3" numFmtId="0" xfId="0" applyBorder="1" applyFont="1"/>
    <xf borderId="31" fillId="2" fontId="8" numFmtId="0" xfId="0" applyAlignment="1" applyBorder="1" applyFont="1">
      <alignment readingOrder="0" vertical="center"/>
    </xf>
    <xf borderId="32" fillId="0" fontId="3" numFmtId="0" xfId="0" applyBorder="1" applyFont="1"/>
    <xf borderId="33" fillId="0" fontId="3" numFmtId="0" xfId="0" applyBorder="1" applyFont="1"/>
    <xf borderId="26" fillId="0" fontId="3" numFmtId="0" xfId="0" applyBorder="1" applyFont="1"/>
    <xf borderId="0" fillId="2" fontId="8" numFmtId="0" xfId="0" applyAlignment="1" applyFont="1">
      <alignment horizontal="left" readingOrder="0" vertical="center"/>
    </xf>
    <xf borderId="26" fillId="2" fontId="8" numFmtId="0" xfId="0" applyAlignment="1" applyBorder="1" applyFont="1">
      <alignment horizontal="left" readingOrder="0" vertical="center"/>
    </xf>
    <xf borderId="0" fillId="2" fontId="37" numFmtId="0" xfId="0" applyAlignment="1" applyFont="1">
      <alignment horizontal="center" readingOrder="0" vertical="center"/>
    </xf>
    <xf borderId="20" fillId="2" fontId="37" numFmtId="0" xfId="0" applyAlignment="1" applyBorder="1" applyFont="1">
      <alignment horizontal="center" readingOrder="0" vertical="center"/>
    </xf>
    <xf borderId="0" fillId="2" fontId="8" numFmtId="0" xfId="0" applyAlignment="1" applyFont="1">
      <alignment horizontal="center" readingOrder="0"/>
    </xf>
    <xf borderId="26" fillId="2" fontId="8" numFmtId="0" xfId="0" applyAlignment="1" applyBorder="1" applyFont="1">
      <alignment horizontal="center" readingOrder="0"/>
    </xf>
    <xf borderId="34" fillId="0" fontId="3" numFmtId="0" xfId="0" applyBorder="1" applyFont="1"/>
    <xf borderId="35" fillId="2" fontId="8" numFmtId="0" xfId="0" applyAlignment="1" applyBorder="1" applyFont="1">
      <alignment horizontal="center" readingOrder="0"/>
    </xf>
    <xf borderId="36" fillId="0" fontId="3" numFmtId="0" xfId="0" applyBorder="1" applyFont="1"/>
    <xf borderId="37" fillId="0" fontId="3" numFmtId="0" xfId="0" applyBorder="1" applyFont="1"/>
    <xf borderId="0" fillId="2" fontId="8" numFmtId="0" xfId="0" applyAlignment="1" applyFont="1">
      <alignment readingOrder="0"/>
    </xf>
    <xf borderId="38" fillId="0" fontId="3" numFmtId="0" xfId="0" applyBorder="1" applyFont="1"/>
    <xf borderId="39" fillId="2" fontId="8" numFmtId="0" xfId="0" applyAlignment="1" applyBorder="1" applyFont="1">
      <alignment readingOrder="0" vertical="center"/>
    </xf>
    <xf borderId="39" fillId="2" fontId="8" numFmtId="0" xfId="0" applyAlignment="1" applyBorder="1" applyFont="1">
      <alignment horizontal="center" readingOrder="0" vertical="center"/>
    </xf>
    <xf borderId="39" fillId="2" fontId="8" numFmtId="165" xfId="0" applyAlignment="1" applyBorder="1" applyFont="1" applyNumberFormat="1">
      <alignment horizontal="left" readingOrder="0" vertical="center"/>
    </xf>
    <xf borderId="0" fillId="0" fontId="38" numFmtId="0" xfId="0" applyAlignment="1" applyFont="1">
      <alignment horizontal="left" readingOrder="0" vertical="center"/>
    </xf>
    <xf borderId="31" fillId="2" fontId="8" numFmtId="0" xfId="0" applyAlignment="1" applyBorder="1" applyFont="1">
      <alignment readingOrder="0"/>
    </xf>
    <xf borderId="0" fillId="0" fontId="38" numFmtId="0" xfId="0" applyAlignment="1" applyFont="1">
      <alignment horizontal="left" readingOrder="0"/>
    </xf>
    <xf borderId="0" fillId="0" fontId="38" numFmtId="165" xfId="0" applyAlignment="1" applyFont="1" applyNumberFormat="1">
      <alignment horizontal="left" readingOrder="0" vertical="center"/>
    </xf>
    <xf borderId="0" fillId="0" fontId="39" numFmtId="0" xfId="0" applyAlignment="1" applyFont="1">
      <alignment readingOrder="0" vertical="center"/>
    </xf>
    <xf borderId="39" fillId="2" fontId="8" numFmtId="0" xfId="0" applyAlignment="1" applyBorder="1" applyFont="1">
      <alignment horizontal="left" readingOrder="0" vertical="center"/>
    </xf>
    <xf borderId="32" fillId="2" fontId="8" numFmtId="164" xfId="0" applyAlignment="1" applyBorder="1" applyFont="1" applyNumberFormat="1">
      <alignment horizontal="left" readingOrder="0" vertical="center"/>
    </xf>
    <xf borderId="40" fillId="0" fontId="3" numFmtId="0" xfId="0" applyBorder="1" applyFont="1"/>
    <xf borderId="41" fillId="0" fontId="3" numFmtId="0" xfId="0" applyBorder="1" applyFont="1"/>
    <xf borderId="20" fillId="2" fontId="8"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co/d/058IE1hk" TargetMode="External"/><Relationship Id="rId2" Type="http://schemas.openxmlformats.org/officeDocument/2006/relationships/hyperlink" Target="https://www.mercadolibre.com.co/p/MCO21882148" TargetMode="External"/><Relationship Id="rId3" Type="http://schemas.openxmlformats.org/officeDocument/2006/relationships/hyperlink" Target="https://www.alkosto.com/teclado-logitech-multimedia-inalambrico-tv-computador-k400/p/097855115324"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vercel.com/" TargetMode="External"/><Relationship Id="rId2" Type="http://schemas.openxmlformats.org/officeDocument/2006/relationships/hyperlink" Target="https://www.netlify.com/" TargetMode="External"/><Relationship Id="rId3" Type="http://schemas.openxmlformats.org/officeDocument/2006/relationships/hyperlink" Target="https://azure.microsoft.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n9.cl/s0ud3" TargetMode="External"/><Relationship Id="rId2" Type="http://schemas.openxmlformats.org/officeDocument/2006/relationships/hyperlink" Target="https://n9.cl/8qatb" TargetMode="External"/><Relationship Id="rId3" Type="http://schemas.openxmlformats.org/officeDocument/2006/relationships/hyperlink" Target="https://n9.cl/qidnvk"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mazon.com/-/es/Dell-Computadora-escritorio-OptiPlex-7050/dp/B0BN1SLZ9F/" TargetMode="External"/><Relationship Id="rId2" Type="http://schemas.openxmlformats.org/officeDocument/2006/relationships/hyperlink" Target="https://surl.lu/nwcrcd" TargetMode="External"/><Relationship Id="rId3" Type="http://schemas.openxmlformats.org/officeDocument/2006/relationships/hyperlink" Target="https://n9.cl/wkccd"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alkosto.com/monitor-samsung-22-pulgadas-22f310-negro/p/198957224317" TargetMode="External"/><Relationship Id="rId2" Type="http://schemas.openxmlformats.org/officeDocument/2006/relationships/hyperlink" Target="https://www.ktronix.com/monitor-acer-215-pulgadas-ek220q-fhd-plano-negro/p/4711121511011" TargetMode="External"/><Relationship Id="rId3" Type="http://schemas.openxmlformats.org/officeDocument/2006/relationships/hyperlink" Target="https://www.mercadolibre.com.co/monitor-dahua-de-215-pulgadas-100hz-hdmi-vga-marco-ultra-delgado-fullhd-178-grados-de-visualizacion/p/MCO20919023"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onexiondigital.co/planes/" TargetMode="External"/><Relationship Id="rId2" Type="http://schemas.openxmlformats.org/officeDocument/2006/relationships/hyperlink" Target="https://www.tigo.com.co/internet/planes" TargetMode="External"/><Relationship Id="rId3" Type="http://schemas.openxmlformats.org/officeDocument/2006/relationships/hyperlink" Target="https://contratarclaro.com.co/internet/"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n9.cl/rt0lo" TargetMode="External"/><Relationship Id="rId2" Type="http://schemas.openxmlformats.org/officeDocument/2006/relationships/hyperlink" Target="https://n9.cl/twe7d" TargetMode="External"/><Relationship Id="rId3" Type="http://schemas.openxmlformats.org/officeDocument/2006/relationships/hyperlink" Target="https://www.alkosto.com/pin-microsoft-windows-pro-fpp-11-64-bit/p/0793969919369"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buhodigitalcol.com/sql-server-2022/" TargetMode="External"/><Relationship Id="rId2" Type="http://schemas.openxmlformats.org/officeDocument/2006/relationships/hyperlink" Target="https://revolutionsoft.com.co/windows-server/sql-server-2022-standard.html" TargetMode="External"/><Relationship Id="rId3" Type="http://schemas.openxmlformats.org/officeDocument/2006/relationships/hyperlink" Target="https://licendi.com/es/sql-server-2022-standard/?gad_campaignid=23547784964"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buho.la/cart.php?a=confproduct&amp;i=0" TargetMode="External"/><Relationship Id="rId2" Type="http://schemas.openxmlformats.org/officeDocument/2006/relationships/hyperlink" Target="https://surl.li/fnjnrr" TargetMode="External"/><Relationship Id="rId3" Type="http://schemas.openxmlformats.org/officeDocument/2006/relationships/hyperlink" Target="https://surl.lu/drbrbf"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0"/>
    <col customWidth="1" min="4" max="4" width="29.38"/>
    <col customWidth="1" min="5" max="5" width="24.5"/>
    <col customWidth="1" min="6" max="6" width="15.75"/>
    <col customWidth="1" min="7" max="7" width="15.63"/>
    <col customWidth="1" min="8" max="8" width="24.0"/>
    <col customWidth="1" min="9" max="9" width="15.25"/>
    <col customWidth="1" min="10" max="10" width="16.88"/>
    <col customWidth="1" min="11" max="11" width="47.38"/>
  </cols>
  <sheetData>
    <row r="1">
      <c r="B1" s="1"/>
      <c r="C1" s="1"/>
      <c r="D1" s="1"/>
      <c r="E1" s="1"/>
      <c r="F1" s="1"/>
      <c r="G1" s="1"/>
      <c r="H1" s="1"/>
      <c r="I1" s="1"/>
      <c r="J1" s="1"/>
      <c r="K1" s="1"/>
    </row>
    <row r="2">
      <c r="B2" s="2" t="s">
        <v>0</v>
      </c>
      <c r="C2" s="3"/>
      <c r="D2" s="3"/>
      <c r="E2" s="3"/>
      <c r="F2" s="3"/>
      <c r="G2" s="3"/>
      <c r="H2" s="3"/>
      <c r="I2" s="3"/>
      <c r="J2" s="3"/>
      <c r="K2" s="4"/>
    </row>
    <row r="3" ht="42.75" customHeight="1">
      <c r="A3" s="1"/>
      <c r="B3" s="5" t="s">
        <v>1</v>
      </c>
      <c r="C3" s="6" t="s">
        <v>2</v>
      </c>
      <c r="D3" s="7" t="s">
        <v>3</v>
      </c>
      <c r="E3" s="7" t="s">
        <v>4</v>
      </c>
      <c r="F3" s="7" t="s">
        <v>5</v>
      </c>
      <c r="G3" s="7" t="s">
        <v>6</v>
      </c>
      <c r="H3" s="7" t="s">
        <v>7</v>
      </c>
      <c r="I3" s="7" t="s">
        <v>8</v>
      </c>
      <c r="J3" s="7" t="s">
        <v>9</v>
      </c>
      <c r="K3" s="8" t="s">
        <v>10</v>
      </c>
    </row>
    <row r="4" ht="54.75" customHeight="1">
      <c r="B4" s="9" t="s">
        <v>11</v>
      </c>
      <c r="C4" s="10" t="s">
        <v>12</v>
      </c>
      <c r="D4" s="11" t="s">
        <v>13</v>
      </c>
      <c r="E4" s="10" t="s">
        <v>14</v>
      </c>
      <c r="F4" s="12">
        <v>252.365</v>
      </c>
      <c r="G4" s="12">
        <v>300.314</v>
      </c>
      <c r="H4" s="13">
        <v>82.11</v>
      </c>
      <c r="I4" s="12">
        <f t="shared" ref="I4:I6" si="1">PRODUCT(H4*3690)</f>
        <v>302985.9</v>
      </c>
      <c r="J4" s="10" t="s">
        <v>15</v>
      </c>
      <c r="K4" s="14" t="s">
        <v>16</v>
      </c>
    </row>
    <row r="5" ht="50.25" customHeight="1">
      <c r="B5" s="9" t="s">
        <v>17</v>
      </c>
      <c r="C5" s="10" t="s">
        <v>18</v>
      </c>
      <c r="D5" s="11" t="s">
        <v>19</v>
      </c>
      <c r="E5" s="10" t="s">
        <v>20</v>
      </c>
      <c r="F5" s="12">
        <v>97.341</v>
      </c>
      <c r="G5" s="12">
        <v>115.836</v>
      </c>
      <c r="H5" s="15">
        <v>31.69</v>
      </c>
      <c r="I5" s="12">
        <f t="shared" si="1"/>
        <v>116936.1</v>
      </c>
      <c r="J5" s="10" t="s">
        <v>15</v>
      </c>
      <c r="K5" s="14" t="s">
        <v>21</v>
      </c>
    </row>
    <row r="6" ht="57.0" customHeight="1">
      <c r="B6" s="16" t="s">
        <v>22</v>
      </c>
      <c r="C6" s="17" t="s">
        <v>23</v>
      </c>
      <c r="D6" s="18" t="s">
        <v>24</v>
      </c>
      <c r="E6" s="17" t="s">
        <v>25</v>
      </c>
      <c r="F6" s="19">
        <v>209.9</v>
      </c>
      <c r="G6" s="19">
        <v>249.781</v>
      </c>
      <c r="H6" s="20">
        <v>68.3</v>
      </c>
      <c r="I6" s="19">
        <f t="shared" si="1"/>
        <v>252027</v>
      </c>
      <c r="J6" s="17" t="s">
        <v>15</v>
      </c>
      <c r="K6" s="21" t="s">
        <v>26</v>
      </c>
    </row>
    <row r="10">
      <c r="F10" s="22"/>
    </row>
  </sheetData>
  <mergeCells count="1">
    <mergeCell ref="B2:K2"/>
  </mergeCells>
  <hyperlinks>
    <hyperlink r:id="rId1" ref="D4"/>
    <hyperlink r:id="rId2" ref="D5"/>
    <hyperlink r:id="rId3" ref="D6"/>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5"/>
    <col customWidth="1" min="5" max="5" width="20.63"/>
    <col customWidth="1" min="6" max="6" width="23.38"/>
    <col customWidth="1" min="12" max="12" width="40.63"/>
  </cols>
  <sheetData>
    <row r="4">
      <c r="C4" s="23" t="s">
        <v>1</v>
      </c>
      <c r="D4" s="24" t="s">
        <v>2</v>
      </c>
      <c r="E4" s="23" t="s">
        <v>3</v>
      </c>
      <c r="F4" s="23" t="s">
        <v>4</v>
      </c>
      <c r="G4" s="23" t="s">
        <v>5</v>
      </c>
      <c r="H4" s="23" t="s">
        <v>6</v>
      </c>
      <c r="I4" s="23" t="s">
        <v>27</v>
      </c>
      <c r="J4" s="23" t="s">
        <v>8</v>
      </c>
      <c r="K4" s="23" t="s">
        <v>28</v>
      </c>
      <c r="L4" s="23" t="s">
        <v>10</v>
      </c>
    </row>
    <row r="5">
      <c r="C5" s="25" t="s">
        <v>11</v>
      </c>
      <c r="D5" s="26" t="s">
        <v>29</v>
      </c>
      <c r="E5" s="27" t="s">
        <v>30</v>
      </c>
      <c r="F5" s="28" t="s">
        <v>31</v>
      </c>
      <c r="G5" s="29">
        <v>0.0</v>
      </c>
      <c r="H5" s="29">
        <v>0.0</v>
      </c>
      <c r="I5" s="30">
        <v>0.0</v>
      </c>
      <c r="J5" s="29">
        <f t="shared" ref="J5:J7" si="1">PRODUCT(I5*3690)</f>
        <v>0</v>
      </c>
      <c r="K5" s="26" t="s">
        <v>15</v>
      </c>
      <c r="L5" s="28" t="s">
        <v>32</v>
      </c>
    </row>
    <row r="6">
      <c r="C6" s="25" t="s">
        <v>17</v>
      </c>
      <c r="D6" s="26" t="s">
        <v>33</v>
      </c>
      <c r="E6" s="31" t="s">
        <v>34</v>
      </c>
      <c r="F6" s="28" t="s">
        <v>35</v>
      </c>
      <c r="G6" s="29">
        <v>0.0</v>
      </c>
      <c r="H6" s="29">
        <v>0.0</v>
      </c>
      <c r="I6" s="30">
        <v>0.0</v>
      </c>
      <c r="J6" s="29">
        <f t="shared" si="1"/>
        <v>0</v>
      </c>
      <c r="K6" s="26" t="s">
        <v>15</v>
      </c>
      <c r="L6" s="32" t="s">
        <v>36</v>
      </c>
    </row>
    <row r="7">
      <c r="C7" s="25" t="s">
        <v>22</v>
      </c>
      <c r="D7" s="26" t="s">
        <v>37</v>
      </c>
      <c r="E7" s="31" t="s">
        <v>38</v>
      </c>
      <c r="F7" s="28" t="s">
        <v>39</v>
      </c>
      <c r="G7" s="29">
        <v>0.0</v>
      </c>
      <c r="H7" s="29">
        <v>0.0</v>
      </c>
      <c r="I7" s="30">
        <v>0.0</v>
      </c>
      <c r="J7" s="29">
        <f t="shared" si="1"/>
        <v>0</v>
      </c>
      <c r="K7" s="26" t="s">
        <v>15</v>
      </c>
      <c r="L7" s="28" t="s">
        <v>40</v>
      </c>
    </row>
    <row r="16">
      <c r="K16" s="33"/>
    </row>
  </sheetData>
  <hyperlinks>
    <hyperlink r:id="rId1" ref="E5"/>
    <hyperlink r:id="rId2" ref="E6"/>
    <hyperlink r:id="rId3" ref="E7"/>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3.0"/>
    <col customWidth="1" min="5" max="5" width="35.5"/>
    <col customWidth="1" min="11" max="11" width="42.25"/>
  </cols>
  <sheetData>
    <row r="3">
      <c r="A3" s="34"/>
      <c r="B3" s="35" t="s">
        <v>1</v>
      </c>
      <c r="C3" s="36" t="s">
        <v>2</v>
      </c>
      <c r="D3" s="36" t="s">
        <v>41</v>
      </c>
      <c r="E3" s="36" t="s">
        <v>4</v>
      </c>
      <c r="F3" s="36" t="s">
        <v>5</v>
      </c>
      <c r="G3" s="36" t="s">
        <v>6</v>
      </c>
      <c r="H3" s="37" t="s">
        <v>42</v>
      </c>
      <c r="I3" s="36" t="s">
        <v>8</v>
      </c>
      <c r="J3" s="36" t="s">
        <v>43</v>
      </c>
      <c r="K3" s="38" t="s">
        <v>10</v>
      </c>
      <c r="L3" s="34"/>
    </row>
    <row r="4" ht="74.25" customHeight="1">
      <c r="A4" s="34"/>
      <c r="B4" s="39" t="s">
        <v>11</v>
      </c>
      <c r="C4" s="10" t="s">
        <v>44</v>
      </c>
      <c r="D4" s="40" t="s">
        <v>45</v>
      </c>
      <c r="E4" s="41" t="s">
        <v>46</v>
      </c>
      <c r="F4" s="42">
        <v>120000.0</v>
      </c>
      <c r="G4" s="42">
        <v>142800.0</v>
      </c>
      <c r="H4" s="15">
        <v>39.05</v>
      </c>
      <c r="I4" s="42">
        <f t="shared" ref="I4:I6" si="1">PRODUCT(H4*3690)</f>
        <v>144094.5</v>
      </c>
      <c r="J4" s="10" t="s">
        <v>15</v>
      </c>
      <c r="K4" s="43" t="s">
        <v>47</v>
      </c>
      <c r="L4" s="34"/>
    </row>
    <row r="5" ht="79.5" customHeight="1">
      <c r="A5" s="34"/>
      <c r="B5" s="39" t="s">
        <v>17</v>
      </c>
      <c r="C5" s="10" t="s">
        <v>48</v>
      </c>
      <c r="D5" s="11" t="s">
        <v>49</v>
      </c>
      <c r="E5" s="10" t="s">
        <v>50</v>
      </c>
      <c r="F5" s="42">
        <v>43900.0</v>
      </c>
      <c r="G5" s="42">
        <v>52241.0</v>
      </c>
      <c r="H5" s="15">
        <v>14.26</v>
      </c>
      <c r="I5" s="42">
        <f t="shared" si="1"/>
        <v>52619.4</v>
      </c>
      <c r="J5" s="10" t="s">
        <v>15</v>
      </c>
      <c r="K5" s="43" t="s">
        <v>51</v>
      </c>
      <c r="L5" s="34"/>
    </row>
    <row r="6" ht="67.5" customHeight="1">
      <c r="A6" s="34"/>
      <c r="B6" s="44" t="s">
        <v>22</v>
      </c>
      <c r="C6" s="17" t="s">
        <v>52</v>
      </c>
      <c r="D6" s="18" t="s">
        <v>53</v>
      </c>
      <c r="E6" s="45" t="s">
        <v>54</v>
      </c>
      <c r="F6" s="46">
        <v>89000.0</v>
      </c>
      <c r="G6" s="46">
        <v>106981.0</v>
      </c>
      <c r="H6" s="20">
        <v>29.18</v>
      </c>
      <c r="I6" s="46">
        <f t="shared" si="1"/>
        <v>107674.2</v>
      </c>
      <c r="J6" s="17" t="s">
        <v>15</v>
      </c>
      <c r="K6" s="47" t="s">
        <v>55</v>
      </c>
      <c r="L6" s="34"/>
    </row>
    <row r="7">
      <c r="B7" s="48"/>
      <c r="C7" s="48"/>
      <c r="D7" s="48"/>
      <c r="E7" s="49"/>
      <c r="F7" s="48"/>
      <c r="G7" s="48"/>
      <c r="H7" s="48"/>
      <c r="I7" s="48"/>
      <c r="J7" s="48"/>
      <c r="K7" s="50"/>
    </row>
  </sheetData>
  <hyperlinks>
    <hyperlink r:id="rId1" ref="D4"/>
    <hyperlink r:id="rId2" ref="D5"/>
    <hyperlink r:id="rId3" ref="D6"/>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38"/>
    <col customWidth="1" min="4" max="4" width="36.88"/>
    <col customWidth="1" min="5" max="5" width="25.13"/>
    <col customWidth="1" min="7" max="7" width="13.13"/>
    <col customWidth="1" min="8" max="8" width="13.5"/>
    <col customWidth="1" min="9" max="9" width="12.38"/>
    <col customWidth="1" min="11" max="11" width="22.25"/>
  </cols>
  <sheetData>
    <row r="3">
      <c r="B3" s="51" t="s">
        <v>1</v>
      </c>
      <c r="C3" s="52" t="s">
        <v>56</v>
      </c>
      <c r="D3" s="53" t="s">
        <v>41</v>
      </c>
      <c r="E3" s="53" t="s">
        <v>4</v>
      </c>
      <c r="F3" s="53" t="s">
        <v>5</v>
      </c>
      <c r="G3" s="53" t="s">
        <v>6</v>
      </c>
      <c r="H3" s="53" t="s">
        <v>57</v>
      </c>
      <c r="I3" s="53" t="s">
        <v>8</v>
      </c>
      <c r="J3" s="53" t="s">
        <v>58</v>
      </c>
      <c r="K3" s="54" t="s">
        <v>10</v>
      </c>
    </row>
    <row r="4" ht="58.5" customHeight="1">
      <c r="B4" s="9" t="s">
        <v>11</v>
      </c>
      <c r="C4" s="10" t="s">
        <v>59</v>
      </c>
      <c r="D4" s="40" t="s">
        <v>60</v>
      </c>
      <c r="E4" s="55" t="s">
        <v>61</v>
      </c>
      <c r="F4" s="12">
        <v>869.589</v>
      </c>
      <c r="G4" s="56">
        <v>1034811.0</v>
      </c>
      <c r="H4" s="10" t="s">
        <v>62</v>
      </c>
      <c r="I4" s="10" t="s">
        <v>63</v>
      </c>
      <c r="J4" s="10" t="s">
        <v>15</v>
      </c>
      <c r="K4" s="57" t="s">
        <v>64</v>
      </c>
      <c r="L4" s="58"/>
      <c r="M4" s="59"/>
    </row>
    <row r="5" ht="113.25" customHeight="1">
      <c r="B5" s="9" t="s">
        <v>17</v>
      </c>
      <c r="C5" s="10" t="s">
        <v>44</v>
      </c>
      <c r="D5" s="60" t="s">
        <v>65</v>
      </c>
      <c r="E5" s="55" t="s">
        <v>66</v>
      </c>
      <c r="F5" s="15" t="s">
        <v>67</v>
      </c>
      <c r="G5" s="61">
        <v>2528750.0</v>
      </c>
      <c r="H5" s="10" t="s">
        <v>68</v>
      </c>
      <c r="I5" s="42">
        <v>2529528.0</v>
      </c>
      <c r="J5" s="10" t="s">
        <v>15</v>
      </c>
      <c r="K5" s="62" t="s">
        <v>69</v>
      </c>
      <c r="L5" s="63"/>
      <c r="M5" s="59"/>
    </row>
    <row r="6" ht="48.0" customHeight="1">
      <c r="B6" s="16" t="s">
        <v>22</v>
      </c>
      <c r="C6" s="17" t="s">
        <v>70</v>
      </c>
      <c r="D6" s="64" t="s">
        <v>71</v>
      </c>
      <c r="E6" s="65" t="s">
        <v>72</v>
      </c>
      <c r="F6" s="20" t="s">
        <v>73</v>
      </c>
      <c r="G6" s="66" t="s">
        <v>74</v>
      </c>
      <c r="H6" s="17" t="s">
        <v>75</v>
      </c>
      <c r="I6" s="17" t="s">
        <v>76</v>
      </c>
      <c r="J6" s="17" t="s">
        <v>15</v>
      </c>
      <c r="K6" s="67" t="s">
        <v>77</v>
      </c>
      <c r="L6" s="63"/>
      <c r="M6" s="59"/>
    </row>
  </sheetData>
  <hyperlinks>
    <hyperlink r:id="rId1" ref="D4"/>
    <hyperlink r:id="rId2" ref="D5"/>
    <hyperlink r:id="rId3" ref="D6"/>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75"/>
    <col customWidth="1" min="4" max="4" width="33.0"/>
    <col customWidth="1" min="5" max="5" width="31.38"/>
    <col customWidth="1" min="6" max="6" width="13.63"/>
    <col customWidth="1" min="7" max="7" width="10.25"/>
    <col customWidth="1" min="8" max="8" width="13.5"/>
    <col customWidth="1" min="9" max="9" width="12.38"/>
    <col customWidth="1" min="11" max="11" width="26.38"/>
  </cols>
  <sheetData>
    <row r="3">
      <c r="B3" s="51" t="s">
        <v>1</v>
      </c>
      <c r="C3" s="52" t="s">
        <v>2</v>
      </c>
      <c r="D3" s="53" t="s">
        <v>41</v>
      </c>
      <c r="E3" s="53" t="s">
        <v>4</v>
      </c>
      <c r="F3" s="53" t="s">
        <v>5</v>
      </c>
      <c r="G3" s="53" t="s">
        <v>6</v>
      </c>
      <c r="H3" s="53" t="s">
        <v>78</v>
      </c>
      <c r="I3" s="53" t="s">
        <v>8</v>
      </c>
      <c r="J3" s="53" t="s">
        <v>79</v>
      </c>
      <c r="K3" s="54" t="s">
        <v>10</v>
      </c>
    </row>
    <row r="4">
      <c r="B4" s="68" t="s">
        <v>11</v>
      </c>
      <c r="C4" s="10" t="s">
        <v>23</v>
      </c>
      <c r="D4" s="40" t="s">
        <v>80</v>
      </c>
      <c r="E4" s="69" t="s">
        <v>81</v>
      </c>
      <c r="F4" s="12">
        <v>369.93</v>
      </c>
      <c r="G4" s="12">
        <v>440.216</v>
      </c>
      <c r="H4" s="15">
        <v>120.37</v>
      </c>
      <c r="I4" s="70">
        <f t="shared" ref="I4:I6" si="1">PRODUCT(H4*3690)</f>
        <v>444165.3</v>
      </c>
      <c r="J4" s="10" t="s">
        <v>82</v>
      </c>
      <c r="K4" s="71" t="s">
        <v>83</v>
      </c>
    </row>
    <row r="5">
      <c r="B5" s="72" t="s">
        <v>17</v>
      </c>
      <c r="C5" s="10" t="s">
        <v>84</v>
      </c>
      <c r="D5" s="60" t="s">
        <v>85</v>
      </c>
      <c r="E5" s="69" t="s">
        <v>86</v>
      </c>
      <c r="F5" s="12">
        <v>349.0</v>
      </c>
      <c r="G5" s="12">
        <v>415.31</v>
      </c>
      <c r="H5" s="15">
        <v>113.55</v>
      </c>
      <c r="I5" s="70">
        <f t="shared" si="1"/>
        <v>418999.5</v>
      </c>
      <c r="J5" s="10" t="s">
        <v>82</v>
      </c>
      <c r="K5" s="73" t="s">
        <v>87</v>
      </c>
    </row>
    <row r="6">
      <c r="B6" s="74" t="s">
        <v>22</v>
      </c>
      <c r="C6" s="17" t="s">
        <v>18</v>
      </c>
      <c r="D6" s="64" t="s">
        <v>88</v>
      </c>
      <c r="E6" s="75" t="s">
        <v>89</v>
      </c>
      <c r="F6" s="19">
        <v>272.0</v>
      </c>
      <c r="G6" s="19">
        <v>323.68</v>
      </c>
      <c r="H6" s="20">
        <v>88.51</v>
      </c>
      <c r="I6" s="76">
        <f t="shared" si="1"/>
        <v>326601.9</v>
      </c>
      <c r="J6" s="17" t="s">
        <v>82</v>
      </c>
      <c r="K6" s="77" t="s">
        <v>90</v>
      </c>
    </row>
  </sheetData>
  <hyperlinks>
    <hyperlink r:id="rId1" ref="D4"/>
    <hyperlink r:id="rId2" ref="D5"/>
    <hyperlink r:id="rId3" location="polycard_client=search-desktop&amp;search_layout=grid&amp;position=11&amp;type=product&amp;tracking_id=be3e4639-0b96-496d-b0d7-35a43d237124&amp;wid=MCO3541010746&amp;sid=search" ref="D6"/>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 customWidth="1" min="4" max="4" width="23.38"/>
    <col customWidth="1" min="5" max="5" width="22.63"/>
    <col customWidth="1" min="7" max="7" width="10.25"/>
    <col customWidth="1" min="8" max="8" width="13.5"/>
    <col customWidth="1" min="9" max="9" width="12.38"/>
  </cols>
  <sheetData>
    <row r="3">
      <c r="B3" s="51" t="s">
        <v>1</v>
      </c>
      <c r="C3" s="52" t="s">
        <v>2</v>
      </c>
      <c r="D3" s="53" t="s">
        <v>41</v>
      </c>
      <c r="E3" s="53" t="s">
        <v>4</v>
      </c>
      <c r="F3" s="53" t="s">
        <v>5</v>
      </c>
      <c r="G3" s="53" t="s">
        <v>6</v>
      </c>
      <c r="H3" s="53" t="s">
        <v>91</v>
      </c>
      <c r="I3" s="53" t="s">
        <v>8</v>
      </c>
      <c r="J3" s="53" t="s">
        <v>92</v>
      </c>
      <c r="K3" s="54" t="s">
        <v>10</v>
      </c>
    </row>
    <row r="4" ht="27.75" customHeight="1">
      <c r="B4" s="9" t="s">
        <v>11</v>
      </c>
      <c r="C4" s="10" t="s">
        <v>93</v>
      </c>
      <c r="D4" s="40" t="s">
        <v>94</v>
      </c>
      <c r="E4" s="10" t="s">
        <v>95</v>
      </c>
      <c r="F4" s="42">
        <v>50420.0</v>
      </c>
      <c r="G4" s="12">
        <v>60.0</v>
      </c>
      <c r="H4" s="78" t="s">
        <v>96</v>
      </c>
      <c r="I4" s="10" t="s">
        <v>97</v>
      </c>
      <c r="J4" s="10" t="s">
        <v>15</v>
      </c>
      <c r="K4" s="14" t="s">
        <v>98</v>
      </c>
    </row>
    <row r="5" ht="27.0" customHeight="1">
      <c r="B5" s="9" t="s">
        <v>17</v>
      </c>
      <c r="C5" s="10" t="s">
        <v>99</v>
      </c>
      <c r="D5" s="60" t="s">
        <v>100</v>
      </c>
      <c r="E5" s="10" t="s">
        <v>95</v>
      </c>
      <c r="F5" s="42">
        <v>63781.0</v>
      </c>
      <c r="G5" s="12">
        <v>75.9</v>
      </c>
      <c r="H5" s="78" t="s">
        <v>101</v>
      </c>
      <c r="I5" s="10" t="s">
        <v>102</v>
      </c>
      <c r="J5" s="10" t="s">
        <v>15</v>
      </c>
      <c r="K5" s="14" t="s">
        <v>103</v>
      </c>
    </row>
    <row r="6" ht="27.0" customHeight="1">
      <c r="B6" s="16" t="s">
        <v>22</v>
      </c>
      <c r="C6" s="17" t="s">
        <v>104</v>
      </c>
      <c r="D6" s="79" t="s">
        <v>105</v>
      </c>
      <c r="E6" s="17" t="s">
        <v>95</v>
      </c>
      <c r="F6" s="46">
        <v>37773.0</v>
      </c>
      <c r="G6" s="19">
        <v>44.95</v>
      </c>
      <c r="H6" s="80" t="s">
        <v>106</v>
      </c>
      <c r="I6" s="17" t="s">
        <v>107</v>
      </c>
      <c r="J6" s="17" t="s">
        <v>15</v>
      </c>
      <c r="K6" s="21" t="s">
        <v>108</v>
      </c>
    </row>
    <row r="8">
      <c r="I8" s="81"/>
    </row>
  </sheetData>
  <hyperlinks>
    <hyperlink r:id="rId1" ref="D4"/>
    <hyperlink r:id="rId2" ref="D5"/>
    <hyperlink r:id="rId3" ref="D6"/>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2" max="2" width="11.88"/>
    <col customWidth="1" min="3" max="3" width="21.0"/>
    <col customWidth="1" min="4" max="4" width="18.88"/>
    <col customWidth="1" min="5" max="5" width="34.75"/>
    <col customWidth="1" min="6" max="6" width="13.13"/>
    <col customWidth="1" min="11" max="11" width="33.13"/>
  </cols>
  <sheetData>
    <row r="2">
      <c r="A2" s="34"/>
      <c r="B2" s="34"/>
      <c r="C2" s="34"/>
      <c r="D2" s="34"/>
      <c r="E2" s="34"/>
      <c r="F2" s="34"/>
      <c r="G2" s="34"/>
      <c r="H2" s="34"/>
      <c r="I2" s="34"/>
      <c r="J2" s="34"/>
      <c r="K2" s="34"/>
      <c r="L2" s="34"/>
    </row>
    <row r="3">
      <c r="A3" s="34"/>
      <c r="B3" s="35" t="s">
        <v>1</v>
      </c>
      <c r="C3" s="36" t="s">
        <v>2</v>
      </c>
      <c r="D3" s="36" t="s">
        <v>41</v>
      </c>
      <c r="E3" s="36" t="s">
        <v>4</v>
      </c>
      <c r="F3" s="36" t="s">
        <v>5</v>
      </c>
      <c r="G3" s="36" t="s">
        <v>6</v>
      </c>
      <c r="H3" s="37" t="s">
        <v>109</v>
      </c>
      <c r="I3" s="36" t="s">
        <v>8</v>
      </c>
      <c r="J3" s="36" t="s">
        <v>110</v>
      </c>
      <c r="K3" s="38" t="s">
        <v>10</v>
      </c>
      <c r="L3" s="34"/>
    </row>
    <row r="4" ht="74.25" customHeight="1">
      <c r="A4" s="34"/>
      <c r="B4" s="39" t="s">
        <v>11</v>
      </c>
      <c r="C4" s="10" t="s">
        <v>111</v>
      </c>
      <c r="D4" s="40" t="s">
        <v>112</v>
      </c>
      <c r="E4" s="82" t="s">
        <v>113</v>
      </c>
      <c r="F4" s="42">
        <v>99000.0</v>
      </c>
      <c r="G4" s="42">
        <v>117810.0</v>
      </c>
      <c r="H4" s="15">
        <v>32.18</v>
      </c>
      <c r="I4" s="42">
        <f t="shared" ref="I4:I6" si="1">PRODUCT(H4*3690)</f>
        <v>118744.2</v>
      </c>
      <c r="J4" s="10" t="s">
        <v>15</v>
      </c>
      <c r="K4" s="43" t="s">
        <v>114</v>
      </c>
      <c r="L4" s="34"/>
    </row>
    <row r="5">
      <c r="A5" s="34"/>
      <c r="B5" s="39" t="s">
        <v>17</v>
      </c>
      <c r="C5" s="10" t="s">
        <v>115</v>
      </c>
      <c r="D5" s="11" t="s">
        <v>116</v>
      </c>
      <c r="E5" s="10" t="s">
        <v>117</v>
      </c>
      <c r="F5" s="42">
        <v>39900.0</v>
      </c>
      <c r="G5" s="42">
        <v>47481.0</v>
      </c>
      <c r="H5" s="15">
        <v>12.97</v>
      </c>
      <c r="I5" s="42">
        <f t="shared" si="1"/>
        <v>47859.3</v>
      </c>
      <c r="J5" s="10" t="s">
        <v>15</v>
      </c>
      <c r="K5" s="43" t="s">
        <v>118</v>
      </c>
      <c r="L5" s="34"/>
    </row>
    <row r="6" ht="93.0" customHeight="1">
      <c r="A6" s="34"/>
      <c r="B6" s="44" t="s">
        <v>22</v>
      </c>
      <c r="C6" s="17" t="s">
        <v>119</v>
      </c>
      <c r="D6" s="18" t="s">
        <v>120</v>
      </c>
      <c r="E6" s="45" t="s">
        <v>121</v>
      </c>
      <c r="F6" s="19">
        <v>915.966</v>
      </c>
      <c r="G6" s="20" t="s">
        <v>122</v>
      </c>
      <c r="H6" s="20">
        <v>259.52</v>
      </c>
      <c r="I6" s="46">
        <f t="shared" si="1"/>
        <v>957628.8</v>
      </c>
      <c r="J6" s="17" t="s">
        <v>123</v>
      </c>
      <c r="K6" s="47" t="s">
        <v>124</v>
      </c>
      <c r="L6" s="34"/>
    </row>
    <row r="7">
      <c r="B7" s="48"/>
      <c r="C7" s="48"/>
      <c r="D7" s="48"/>
      <c r="E7" s="49"/>
      <c r="F7" s="48"/>
      <c r="G7" s="48"/>
      <c r="H7" s="48"/>
      <c r="I7" s="48"/>
      <c r="J7" s="48"/>
      <c r="K7" s="50"/>
    </row>
  </sheetData>
  <hyperlinks>
    <hyperlink r:id="rId1" ref="D4"/>
    <hyperlink r:id="rId2" ref="D5"/>
    <hyperlink r:id="rId3" ref="D6"/>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13"/>
    <col customWidth="1" min="3" max="3" width="11.88"/>
    <col customWidth="1" min="4" max="4" width="17.13"/>
    <col customWidth="1" min="5" max="5" width="33.5"/>
    <col customWidth="1" min="6" max="6" width="12.38"/>
    <col customWidth="1" min="11" max="11" width="33.13"/>
  </cols>
  <sheetData>
    <row r="3">
      <c r="B3" s="35" t="s">
        <v>1</v>
      </c>
      <c r="C3" s="36" t="s">
        <v>2</v>
      </c>
      <c r="D3" s="36" t="s">
        <v>41</v>
      </c>
      <c r="E3" s="36" t="s">
        <v>4</v>
      </c>
      <c r="F3" s="36" t="s">
        <v>5</v>
      </c>
      <c r="G3" s="36" t="s">
        <v>6</v>
      </c>
      <c r="H3" s="37" t="s">
        <v>125</v>
      </c>
      <c r="I3" s="36" t="s">
        <v>8</v>
      </c>
      <c r="J3" s="36" t="s">
        <v>126</v>
      </c>
      <c r="K3" s="38" t="s">
        <v>10</v>
      </c>
    </row>
    <row r="4" ht="62.25" customHeight="1">
      <c r="B4" s="83" t="s">
        <v>11</v>
      </c>
      <c r="C4" s="10" t="s">
        <v>127</v>
      </c>
      <c r="D4" s="40" t="s">
        <v>128</v>
      </c>
      <c r="E4" s="82" t="s">
        <v>129</v>
      </c>
      <c r="F4" s="12">
        <v>324.285</v>
      </c>
      <c r="G4" s="84">
        <v>385900.0</v>
      </c>
      <c r="H4" s="15" t="s">
        <v>130</v>
      </c>
      <c r="I4" s="12">
        <v>389.184</v>
      </c>
      <c r="J4" s="10" t="s">
        <v>15</v>
      </c>
      <c r="K4" s="85" t="s">
        <v>131</v>
      </c>
      <c r="M4" s="86"/>
    </row>
    <row r="5" ht="109.5" customHeight="1">
      <c r="B5" s="83" t="s">
        <v>17</v>
      </c>
      <c r="C5" s="10" t="s">
        <v>132</v>
      </c>
      <c r="D5" s="60" t="s">
        <v>133</v>
      </c>
      <c r="E5" s="87" t="s">
        <v>134</v>
      </c>
      <c r="F5" s="15" t="s">
        <v>135</v>
      </c>
      <c r="G5" s="88" t="s">
        <v>136</v>
      </c>
      <c r="H5" s="15" t="s">
        <v>137</v>
      </c>
      <c r="I5" s="10" t="s">
        <v>138</v>
      </c>
      <c r="J5" s="10" t="s">
        <v>15</v>
      </c>
      <c r="K5" s="89" t="s">
        <v>139</v>
      </c>
      <c r="M5" s="86"/>
    </row>
    <row r="6" ht="65.25" customHeight="1">
      <c r="B6" s="90" t="s">
        <v>22</v>
      </c>
      <c r="C6" s="17" t="s">
        <v>140</v>
      </c>
      <c r="D6" s="64" t="s">
        <v>141</v>
      </c>
      <c r="E6" s="91" t="s">
        <v>142</v>
      </c>
      <c r="F6" s="19">
        <v>1352799.0</v>
      </c>
      <c r="G6" s="20">
        <v>1609831.0</v>
      </c>
      <c r="H6" s="20" t="s">
        <v>143</v>
      </c>
      <c r="I6" s="17" t="s">
        <v>144</v>
      </c>
      <c r="J6" s="17" t="s">
        <v>15</v>
      </c>
      <c r="K6" s="92" t="s">
        <v>145</v>
      </c>
      <c r="M6" s="86"/>
    </row>
    <row r="7">
      <c r="B7" s="48"/>
      <c r="C7" s="48"/>
      <c r="D7" s="48"/>
      <c r="E7" s="49"/>
      <c r="F7" s="48"/>
      <c r="G7" s="48"/>
      <c r="H7" s="48"/>
      <c r="I7" s="48"/>
      <c r="J7" s="48"/>
      <c r="K7" s="50"/>
      <c r="M7" s="86"/>
    </row>
  </sheetData>
  <hyperlinks>
    <hyperlink r:id="rId1" ref="D4"/>
    <hyperlink r:id="rId2" ref="D5"/>
    <hyperlink r:id="rId3" ref="D6"/>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88"/>
    <col customWidth="1" min="5" max="5" width="40.75"/>
    <col customWidth="1" min="6" max="6" width="20.0"/>
    <col customWidth="1" min="7" max="7" width="33.5"/>
    <col customWidth="1" min="9" max="9" width="17.38"/>
    <col customWidth="1" min="10" max="10" width="10.25"/>
    <col customWidth="1" min="12" max="12" width="20.0"/>
  </cols>
  <sheetData>
    <row r="1">
      <c r="B1" s="34"/>
      <c r="C1" s="34"/>
      <c r="D1" s="34"/>
      <c r="E1" s="34"/>
      <c r="F1" s="34"/>
      <c r="G1" s="34"/>
      <c r="H1" s="34"/>
      <c r="I1" s="34"/>
      <c r="J1" s="34"/>
      <c r="K1" s="34"/>
      <c r="L1" s="34"/>
      <c r="M1" s="34"/>
    </row>
    <row r="2">
      <c r="B2" s="34"/>
      <c r="C2" s="93" t="s">
        <v>1</v>
      </c>
      <c r="D2" s="93" t="s">
        <v>2</v>
      </c>
      <c r="E2" s="93" t="s">
        <v>41</v>
      </c>
      <c r="F2" s="93" t="s">
        <v>4</v>
      </c>
      <c r="G2" s="93" t="s">
        <v>5</v>
      </c>
      <c r="H2" s="93" t="s">
        <v>6</v>
      </c>
      <c r="I2" s="94" t="s">
        <v>146</v>
      </c>
      <c r="J2" s="93" t="s">
        <v>8</v>
      </c>
      <c r="K2" s="93" t="s">
        <v>147</v>
      </c>
      <c r="L2" s="93" t="s">
        <v>10</v>
      </c>
      <c r="M2" s="34"/>
    </row>
    <row r="3" ht="99.75" customHeight="1">
      <c r="B3" s="34"/>
      <c r="C3" s="70" t="s">
        <v>11</v>
      </c>
      <c r="D3" s="10" t="s">
        <v>148</v>
      </c>
      <c r="E3" s="40" t="s">
        <v>149</v>
      </c>
      <c r="F3" s="82" t="s">
        <v>150</v>
      </c>
      <c r="G3" s="42" t="s">
        <v>151</v>
      </c>
      <c r="H3" s="42">
        <v>1426810.0</v>
      </c>
      <c r="I3" s="15">
        <v>385.24</v>
      </c>
      <c r="J3" s="42">
        <v>1451584.0</v>
      </c>
      <c r="K3" s="10" t="s">
        <v>15</v>
      </c>
      <c r="L3" s="82" t="s">
        <v>152</v>
      </c>
      <c r="M3" s="34"/>
    </row>
    <row r="4" ht="103.5" customHeight="1">
      <c r="B4" s="34"/>
      <c r="C4" s="70" t="s">
        <v>17</v>
      </c>
      <c r="D4" s="10" t="s">
        <v>153</v>
      </c>
      <c r="E4" s="95" t="s">
        <v>154</v>
      </c>
      <c r="F4" s="10" t="s">
        <v>155</v>
      </c>
      <c r="G4" s="12">
        <v>256.5</v>
      </c>
      <c r="H4" s="42">
        <v>305235.0</v>
      </c>
      <c r="I4" s="15">
        <v>80.96</v>
      </c>
      <c r="J4" s="42">
        <v>305057.0</v>
      </c>
      <c r="K4" s="10" t="s">
        <v>15</v>
      </c>
      <c r="L4" s="82" t="s">
        <v>156</v>
      </c>
      <c r="M4" s="34"/>
    </row>
    <row r="5" ht="103.5" customHeight="1">
      <c r="B5" s="34"/>
      <c r="C5" s="70" t="s">
        <v>22</v>
      </c>
      <c r="D5" s="10" t="s">
        <v>157</v>
      </c>
      <c r="E5" s="95" t="s">
        <v>158</v>
      </c>
      <c r="F5" s="96" t="s">
        <v>159</v>
      </c>
      <c r="G5" s="12">
        <v>26.9</v>
      </c>
      <c r="H5" s="42">
        <v>32011.0</v>
      </c>
      <c r="I5" s="15">
        <v>8.5</v>
      </c>
      <c r="J5" s="42">
        <v>32028.0</v>
      </c>
      <c r="K5" s="10" t="s">
        <v>123</v>
      </c>
      <c r="L5" s="82" t="s">
        <v>160</v>
      </c>
      <c r="M5" s="34"/>
    </row>
    <row r="6">
      <c r="B6" s="34"/>
      <c r="C6" s="34"/>
      <c r="D6" s="34"/>
      <c r="E6" s="34"/>
      <c r="F6" s="34"/>
      <c r="G6" s="34"/>
      <c r="H6" s="34"/>
      <c r="I6" s="34"/>
      <c r="J6" s="34"/>
      <c r="K6" s="34"/>
      <c r="L6" s="34"/>
      <c r="M6" s="34"/>
    </row>
    <row r="7">
      <c r="B7" s="34"/>
      <c r="C7" s="97"/>
      <c r="D7" s="97"/>
      <c r="E7" s="97"/>
      <c r="F7" s="97"/>
      <c r="G7" s="97"/>
      <c r="H7" s="97"/>
      <c r="I7" s="98"/>
      <c r="J7" s="97"/>
      <c r="K7" s="97"/>
      <c r="L7" s="97"/>
      <c r="M7" s="34"/>
    </row>
    <row r="8">
      <c r="B8" s="34"/>
      <c r="C8" s="99"/>
      <c r="D8" s="100"/>
      <c r="E8" s="101"/>
      <c r="F8" s="41"/>
      <c r="G8" s="102"/>
      <c r="H8" s="102"/>
      <c r="I8" s="13"/>
      <c r="J8" s="102"/>
      <c r="K8" s="100"/>
      <c r="L8" s="41"/>
      <c r="M8" s="34"/>
    </row>
    <row r="9">
      <c r="B9" s="34"/>
      <c r="C9" s="99"/>
      <c r="D9" s="100"/>
      <c r="E9" s="103"/>
      <c r="F9" s="100"/>
      <c r="G9" s="102"/>
      <c r="H9" s="102"/>
      <c r="I9" s="13"/>
      <c r="J9" s="102"/>
      <c r="K9" s="100"/>
      <c r="L9" s="41"/>
      <c r="M9" s="34"/>
    </row>
    <row r="10">
      <c r="B10" s="34"/>
      <c r="C10" s="99"/>
      <c r="D10" s="100"/>
      <c r="E10" s="103"/>
      <c r="F10" s="104"/>
      <c r="G10" s="105"/>
      <c r="H10" s="13"/>
      <c r="I10" s="13"/>
      <c r="J10" s="102"/>
      <c r="K10" s="100"/>
      <c r="L10" s="41"/>
      <c r="M10" s="34"/>
    </row>
    <row r="11">
      <c r="B11" s="106"/>
      <c r="C11" s="107"/>
      <c r="D11" s="108"/>
      <c r="E11" s="109"/>
      <c r="F11" s="107"/>
      <c r="G11" s="107"/>
      <c r="H11" s="107"/>
      <c r="I11" s="110"/>
      <c r="J11" s="110"/>
      <c r="K11" s="110"/>
    </row>
    <row r="12">
      <c r="B12" s="106"/>
      <c r="C12" s="108"/>
      <c r="D12" s="108"/>
      <c r="E12" s="109"/>
      <c r="F12" s="107"/>
      <c r="G12" s="107"/>
      <c r="H12" s="107"/>
      <c r="I12" s="110"/>
      <c r="J12" s="110"/>
      <c r="K12" s="111"/>
    </row>
    <row r="13">
      <c r="B13" s="106"/>
      <c r="C13" s="108"/>
      <c r="D13" s="108"/>
      <c r="E13" s="109"/>
      <c r="F13" s="107"/>
      <c r="G13" s="107"/>
      <c r="H13" s="107"/>
      <c r="I13" s="110"/>
      <c r="J13" s="110"/>
      <c r="K13" s="111"/>
    </row>
  </sheetData>
  <hyperlinks>
    <hyperlink r:id="rId1" ref="E3"/>
    <hyperlink r:id="rId2" ref="E4"/>
    <hyperlink r:id="rId3" ref="E5"/>
  </hyperlink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63"/>
    <col customWidth="1" min="3" max="3" width="27.38"/>
    <col customWidth="1" min="4" max="4" width="21.88"/>
    <col customWidth="1" min="5" max="5" width="23.25"/>
    <col customWidth="1" min="6" max="6" width="61.75"/>
    <col customWidth="1" min="7" max="7" width="19.0"/>
    <col customWidth="1" min="8" max="8" width="22.75"/>
    <col customWidth="1" min="11" max="11" width="33.63"/>
  </cols>
  <sheetData>
    <row r="3" ht="35.25" customHeight="1">
      <c r="B3" s="51" t="s">
        <v>161</v>
      </c>
      <c r="C3" s="53" t="s">
        <v>162</v>
      </c>
      <c r="D3" s="53" t="s">
        <v>163</v>
      </c>
      <c r="E3" s="53" t="s">
        <v>164</v>
      </c>
      <c r="F3" s="53" t="s">
        <v>165</v>
      </c>
      <c r="G3" s="54" t="s">
        <v>166</v>
      </c>
      <c r="H3" s="112"/>
      <c r="I3" s="113"/>
      <c r="J3" s="113"/>
      <c r="K3" s="113"/>
    </row>
    <row r="4">
      <c r="B4" s="114" t="s">
        <v>11</v>
      </c>
      <c r="C4" s="115" t="s">
        <v>167</v>
      </c>
      <c r="D4" s="116">
        <v>3.208718745E9</v>
      </c>
      <c r="E4" s="117" t="s">
        <v>168</v>
      </c>
      <c r="F4" s="118" t="s">
        <v>169</v>
      </c>
      <c r="G4" s="119">
        <v>5400000.0</v>
      </c>
      <c r="H4" s="112"/>
      <c r="I4" s="120"/>
      <c r="J4" s="121"/>
      <c r="K4" s="122"/>
    </row>
    <row r="5" ht="54.0" customHeight="1">
      <c r="B5" s="83" t="s">
        <v>17</v>
      </c>
      <c r="C5" s="55" t="s">
        <v>170</v>
      </c>
      <c r="D5" s="55">
        <v>3.006270198E9</v>
      </c>
      <c r="E5" s="123" t="s">
        <v>171</v>
      </c>
      <c r="F5" s="15" t="s">
        <v>172</v>
      </c>
      <c r="G5" s="124" t="s">
        <v>173</v>
      </c>
      <c r="H5" s="112"/>
      <c r="I5" s="112"/>
      <c r="J5" s="121"/>
      <c r="K5" s="125"/>
    </row>
    <row r="6" ht="77.25" customHeight="1">
      <c r="B6" s="83" t="s">
        <v>22</v>
      </c>
      <c r="C6" s="10" t="s">
        <v>174</v>
      </c>
      <c r="D6" s="126">
        <v>3.143381501E9</v>
      </c>
      <c r="E6" s="123" t="s">
        <v>175</v>
      </c>
      <c r="F6" s="127" t="s">
        <v>176</v>
      </c>
      <c r="G6" s="128">
        <v>3100000.0</v>
      </c>
      <c r="H6" s="112"/>
      <c r="I6" s="112"/>
      <c r="J6" s="121"/>
      <c r="K6" s="129"/>
    </row>
    <row r="7" ht="48.0" customHeight="1">
      <c r="B7" s="130" t="s">
        <v>177</v>
      </c>
      <c r="C7" s="10" t="s">
        <v>178</v>
      </c>
      <c r="D7" s="10">
        <v>3.222856055E9</v>
      </c>
      <c r="E7" s="123" t="s">
        <v>179</v>
      </c>
      <c r="F7" s="10" t="s">
        <v>180</v>
      </c>
      <c r="G7" s="128">
        <v>3200000.0</v>
      </c>
      <c r="H7" s="112"/>
    </row>
    <row r="8" ht="79.5" customHeight="1">
      <c r="B8" s="131" t="s">
        <v>181</v>
      </c>
      <c r="C8" s="132" t="s">
        <v>182</v>
      </c>
      <c r="D8" s="65">
        <v>3.19707133E9</v>
      </c>
      <c r="E8" s="133" t="s">
        <v>183</v>
      </c>
      <c r="F8" s="20" t="s">
        <v>184</v>
      </c>
      <c r="G8" s="134" t="s">
        <v>185</v>
      </c>
      <c r="H8" s="112"/>
      <c r="J8" s="135"/>
      <c r="K8" s="136"/>
    </row>
    <row r="9">
      <c r="B9" s="137"/>
      <c r="C9" s="137"/>
      <c r="D9" s="137"/>
      <c r="E9" s="137"/>
      <c r="F9" s="137"/>
      <c r="G9" s="138" t="s">
        <v>186</v>
      </c>
    </row>
    <row r="10">
      <c r="B10" s="139"/>
      <c r="C10" s="139"/>
      <c r="D10" s="139"/>
      <c r="E10" s="139"/>
      <c r="F10" s="139"/>
      <c r="G10" s="140"/>
    </row>
    <row r="11">
      <c r="C11" s="141"/>
      <c r="D11" s="141"/>
      <c r="E11" s="141"/>
    </row>
    <row r="12">
      <c r="C12" s="142"/>
      <c r="D12" s="141"/>
      <c r="E12" s="142"/>
      <c r="F12" s="143"/>
    </row>
    <row r="13">
      <c r="C13" s="142"/>
      <c r="D13" s="141"/>
      <c r="E13" s="142"/>
    </row>
    <row r="14">
      <c r="C14" s="142"/>
      <c r="D14" s="141"/>
      <c r="E14" s="142"/>
    </row>
    <row r="15">
      <c r="C15" s="141"/>
      <c r="D15" s="141"/>
      <c r="E15" s="141"/>
    </row>
    <row r="16">
      <c r="D16" s="141"/>
      <c r="E16" s="142"/>
    </row>
    <row r="17">
      <c r="D17" s="141"/>
      <c r="E17" s="142"/>
    </row>
    <row r="18">
      <c r="D18" s="141"/>
      <c r="E18" s="142"/>
    </row>
    <row r="19">
      <c r="D19" s="141"/>
      <c r="E19" s="142"/>
    </row>
    <row r="20">
      <c r="D20" s="141"/>
      <c r="E20" s="14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4"/>
      <c r="B1" s="144"/>
      <c r="C1" s="144"/>
      <c r="D1" s="144"/>
      <c r="E1" s="144"/>
      <c r="F1" s="144"/>
      <c r="G1" s="144"/>
      <c r="H1" s="144"/>
      <c r="I1" s="144"/>
      <c r="J1" s="144"/>
      <c r="K1" s="144"/>
      <c r="L1" s="144"/>
      <c r="M1" s="144"/>
      <c r="N1" s="144"/>
      <c r="O1" s="144"/>
      <c r="P1" s="144"/>
      <c r="Q1" s="144"/>
      <c r="R1" s="144"/>
      <c r="S1" s="144"/>
      <c r="T1" s="144"/>
      <c r="U1" s="144"/>
      <c r="V1" s="144"/>
      <c r="W1" s="144"/>
      <c r="X1" s="144"/>
      <c r="Y1" s="144"/>
      <c r="Z1" s="144"/>
      <c r="AA1" s="144"/>
      <c r="AB1" s="144"/>
    </row>
    <row r="2">
      <c r="A2" s="144"/>
      <c r="B2" s="144"/>
      <c r="C2" s="144"/>
      <c r="D2" s="145"/>
      <c r="E2" s="145"/>
      <c r="F2" s="146" t="s">
        <v>187</v>
      </c>
      <c r="G2" s="147"/>
      <c r="H2" s="147"/>
      <c r="I2" s="147"/>
      <c r="J2" s="147"/>
      <c r="K2" s="147"/>
      <c r="L2" s="147"/>
      <c r="M2" s="147"/>
      <c r="N2" s="147"/>
      <c r="O2" s="148"/>
      <c r="P2" s="144"/>
      <c r="Q2" s="144"/>
      <c r="R2" s="144"/>
      <c r="S2" s="144"/>
      <c r="T2" s="144"/>
      <c r="U2" s="144"/>
      <c r="V2" s="144"/>
      <c r="W2" s="144"/>
      <c r="X2" s="144"/>
      <c r="Y2" s="144"/>
      <c r="Z2" s="144"/>
      <c r="AA2" s="144"/>
      <c r="AB2" s="144"/>
    </row>
    <row r="3">
      <c r="A3" s="144"/>
      <c r="B3" s="144"/>
      <c r="C3" s="144"/>
      <c r="D3" s="145"/>
      <c r="E3" s="145"/>
      <c r="F3" s="149"/>
      <c r="G3" s="150"/>
      <c r="H3" s="150"/>
      <c r="I3" s="150"/>
      <c r="J3" s="150"/>
      <c r="K3" s="150"/>
      <c r="L3" s="150"/>
      <c r="M3" s="150"/>
      <c r="N3" s="150"/>
      <c r="O3" s="151"/>
      <c r="P3" s="144"/>
      <c r="Q3" s="144"/>
      <c r="R3" s="144"/>
      <c r="S3" s="144"/>
      <c r="T3" s="144"/>
      <c r="U3" s="144"/>
      <c r="V3" s="144"/>
      <c r="W3" s="144"/>
      <c r="X3" s="144"/>
      <c r="Y3" s="144"/>
      <c r="Z3" s="144"/>
      <c r="AA3" s="144"/>
      <c r="AB3" s="144"/>
    </row>
    <row r="4" ht="30.0" customHeight="1">
      <c r="A4" s="144"/>
      <c r="B4" s="144"/>
      <c r="C4" s="144"/>
      <c r="D4" s="152"/>
      <c r="E4" s="152"/>
      <c r="F4" s="153" t="s">
        <v>188</v>
      </c>
      <c r="O4" s="154"/>
      <c r="P4" s="144"/>
      <c r="Q4" s="144"/>
      <c r="R4" s="144"/>
      <c r="S4" s="144"/>
      <c r="T4" s="144"/>
      <c r="U4" s="144"/>
      <c r="V4" s="144"/>
      <c r="W4" s="144"/>
      <c r="X4" s="144"/>
      <c r="Y4" s="144"/>
      <c r="Z4" s="144"/>
      <c r="AA4" s="144"/>
      <c r="AB4" s="144"/>
    </row>
    <row r="5">
      <c r="A5" s="144"/>
      <c r="B5" s="144"/>
      <c r="C5" s="144"/>
      <c r="D5" s="152"/>
      <c r="E5" s="152"/>
      <c r="F5" s="155"/>
      <c r="G5" s="156"/>
      <c r="H5" s="156"/>
      <c r="I5" s="156"/>
      <c r="J5" s="156"/>
      <c r="K5" s="156"/>
      <c r="L5" s="156"/>
      <c r="M5" s="156"/>
      <c r="N5" s="156"/>
      <c r="O5" s="157"/>
      <c r="P5" s="144"/>
      <c r="Q5" s="144"/>
      <c r="R5" s="144"/>
      <c r="S5" s="144"/>
      <c r="T5" s="144"/>
      <c r="U5" s="144"/>
      <c r="V5" s="144"/>
      <c r="W5" s="144"/>
      <c r="X5" s="144"/>
      <c r="Y5" s="144"/>
      <c r="Z5" s="144"/>
      <c r="AA5" s="144"/>
      <c r="AB5" s="144"/>
    </row>
    <row r="6">
      <c r="A6" s="144"/>
      <c r="B6" s="144"/>
      <c r="C6" s="144"/>
      <c r="D6" s="152"/>
      <c r="E6" s="152"/>
      <c r="F6" s="158" t="s">
        <v>189</v>
      </c>
      <c r="G6" s="159"/>
      <c r="H6" s="159"/>
      <c r="I6" s="159"/>
      <c r="J6" s="159"/>
      <c r="K6" s="159"/>
      <c r="L6" s="159"/>
      <c r="M6" s="159"/>
      <c r="N6" s="159"/>
      <c r="O6" s="160"/>
      <c r="P6" s="144"/>
      <c r="Q6" s="144"/>
      <c r="R6" s="144"/>
      <c r="S6" s="144"/>
      <c r="T6" s="144"/>
      <c r="U6" s="144"/>
      <c r="V6" s="144"/>
      <c r="W6" s="144"/>
      <c r="X6" s="144"/>
      <c r="Y6" s="144"/>
      <c r="Z6" s="144"/>
      <c r="AA6" s="144"/>
      <c r="AB6" s="144"/>
    </row>
    <row r="7">
      <c r="A7" s="144"/>
      <c r="B7" s="144"/>
      <c r="C7" s="144"/>
      <c r="D7" s="152"/>
      <c r="E7" s="152"/>
      <c r="F7" s="155"/>
      <c r="G7" s="156"/>
      <c r="H7" s="156"/>
      <c r="I7" s="156"/>
      <c r="J7" s="156"/>
      <c r="K7" s="156"/>
      <c r="L7" s="156"/>
      <c r="M7" s="156"/>
      <c r="N7" s="156"/>
      <c r="O7" s="157"/>
      <c r="P7" s="144"/>
      <c r="Q7" s="144"/>
      <c r="R7" s="144"/>
      <c r="S7" s="144"/>
      <c r="T7" s="144"/>
      <c r="U7" s="144"/>
      <c r="V7" s="144"/>
      <c r="W7" s="144"/>
      <c r="X7" s="144"/>
      <c r="Y7" s="144"/>
      <c r="Z7" s="144"/>
      <c r="AA7" s="144"/>
      <c r="AB7" s="144"/>
    </row>
    <row r="8">
      <c r="A8" s="144"/>
      <c r="B8" s="144"/>
      <c r="C8" s="144"/>
      <c r="D8" s="152"/>
      <c r="E8" s="152"/>
      <c r="F8" s="153" t="s">
        <v>190</v>
      </c>
      <c r="O8" s="154"/>
      <c r="P8" s="144"/>
      <c r="Q8" s="144"/>
      <c r="R8" s="144"/>
      <c r="S8" s="144"/>
      <c r="T8" s="144"/>
      <c r="U8" s="144"/>
      <c r="V8" s="144"/>
      <c r="W8" s="144"/>
      <c r="X8" s="144"/>
      <c r="Y8" s="144"/>
      <c r="Z8" s="144"/>
      <c r="AA8" s="144"/>
      <c r="AB8" s="144"/>
    </row>
    <row r="9">
      <c r="A9" s="144"/>
      <c r="B9" s="144"/>
      <c r="C9" s="144"/>
      <c r="D9" s="152"/>
      <c r="E9" s="152"/>
      <c r="F9" s="161"/>
      <c r="O9" s="154"/>
      <c r="P9" s="144"/>
      <c r="Q9" s="144"/>
      <c r="R9" s="144"/>
      <c r="S9" s="144"/>
      <c r="T9" s="144"/>
      <c r="U9" s="144"/>
      <c r="V9" s="144"/>
      <c r="W9" s="144"/>
      <c r="X9" s="144"/>
      <c r="Y9" s="144"/>
      <c r="Z9" s="144"/>
      <c r="AA9" s="144"/>
      <c r="AB9" s="144"/>
    </row>
    <row r="10" ht="39.75" customHeight="1">
      <c r="A10" s="144"/>
      <c r="B10" s="144"/>
      <c r="C10" s="144"/>
      <c r="D10" s="152"/>
      <c r="E10" s="152"/>
      <c r="F10" s="158" t="s">
        <v>191</v>
      </c>
      <c r="G10" s="159"/>
      <c r="H10" s="159"/>
      <c r="I10" s="159"/>
      <c r="J10" s="159"/>
      <c r="K10" s="159"/>
      <c r="L10" s="159"/>
      <c r="M10" s="159"/>
      <c r="N10" s="159"/>
      <c r="O10" s="160"/>
      <c r="P10" s="144"/>
      <c r="Q10" s="144"/>
      <c r="R10" s="144"/>
      <c r="S10" s="144"/>
      <c r="T10" s="144"/>
      <c r="U10" s="144"/>
      <c r="V10" s="144"/>
      <c r="W10" s="144"/>
      <c r="X10" s="144"/>
      <c r="Y10" s="144"/>
      <c r="Z10" s="144"/>
      <c r="AA10" s="144"/>
      <c r="AB10" s="144"/>
    </row>
    <row r="11" ht="34.5" customHeight="1">
      <c r="A11" s="144"/>
      <c r="B11" s="144"/>
      <c r="C11" s="144"/>
      <c r="D11" s="152"/>
      <c r="E11" s="152"/>
      <c r="F11" s="155"/>
      <c r="G11" s="156"/>
      <c r="H11" s="156"/>
      <c r="I11" s="156"/>
      <c r="J11" s="156"/>
      <c r="K11" s="156"/>
      <c r="L11" s="156"/>
      <c r="M11" s="156"/>
      <c r="N11" s="156"/>
      <c r="O11" s="157"/>
      <c r="P11" s="144"/>
      <c r="Q11" s="144"/>
      <c r="R11" s="144"/>
      <c r="S11" s="144"/>
      <c r="T11" s="144"/>
      <c r="U11" s="144"/>
      <c r="V11" s="144"/>
      <c r="W11" s="144"/>
      <c r="X11" s="144"/>
      <c r="Y11" s="144"/>
      <c r="Z11" s="144"/>
      <c r="AA11" s="144"/>
      <c r="AB11" s="144"/>
    </row>
    <row r="12">
      <c r="A12" s="144"/>
      <c r="B12" s="144"/>
      <c r="C12" s="144"/>
      <c r="D12" s="162"/>
      <c r="E12" s="162"/>
      <c r="F12" s="163" t="s">
        <v>192</v>
      </c>
      <c r="O12" s="154"/>
      <c r="P12" s="144"/>
      <c r="Q12" s="144"/>
      <c r="R12" s="144"/>
      <c r="S12" s="144"/>
      <c r="T12" s="144"/>
      <c r="U12" s="144"/>
      <c r="V12" s="144"/>
      <c r="W12" s="144"/>
      <c r="X12" s="144"/>
      <c r="Y12" s="144"/>
      <c r="Z12" s="144"/>
      <c r="AA12" s="144"/>
      <c r="AB12" s="144"/>
    </row>
    <row r="13">
      <c r="A13" s="144"/>
      <c r="B13" s="144"/>
      <c r="C13" s="144"/>
      <c r="D13" s="162"/>
      <c r="E13" s="162"/>
      <c r="F13" s="155"/>
      <c r="G13" s="156"/>
      <c r="H13" s="156"/>
      <c r="I13" s="156"/>
      <c r="J13" s="156"/>
      <c r="K13" s="156"/>
      <c r="L13" s="156"/>
      <c r="M13" s="156"/>
      <c r="N13" s="156"/>
      <c r="O13" s="157"/>
      <c r="P13" s="144"/>
      <c r="Q13" s="144"/>
      <c r="R13" s="144"/>
      <c r="S13" s="144"/>
      <c r="T13" s="144"/>
      <c r="U13" s="144"/>
      <c r="V13" s="144"/>
      <c r="W13" s="144"/>
      <c r="X13" s="144"/>
      <c r="Y13" s="144"/>
      <c r="Z13" s="144"/>
      <c r="AA13" s="144"/>
      <c r="AB13" s="144"/>
    </row>
    <row r="14">
      <c r="A14" s="144"/>
      <c r="B14" s="144"/>
      <c r="C14" s="144"/>
      <c r="D14" s="164"/>
      <c r="E14" s="164"/>
      <c r="F14" s="165" t="s">
        <v>193</v>
      </c>
      <c r="G14" s="147"/>
      <c r="H14" s="147"/>
      <c r="I14" s="147"/>
      <c r="J14" s="147"/>
      <c r="K14" s="147"/>
      <c r="L14" s="147"/>
      <c r="M14" s="147"/>
      <c r="N14" s="147"/>
      <c r="O14" s="148"/>
      <c r="P14" s="144"/>
      <c r="Q14" s="144"/>
      <c r="R14" s="144"/>
      <c r="S14" s="144"/>
      <c r="T14" s="144"/>
      <c r="U14" s="144"/>
      <c r="V14" s="144"/>
      <c r="W14" s="144"/>
      <c r="X14" s="144"/>
      <c r="Y14" s="144"/>
      <c r="Z14" s="144"/>
      <c r="AA14" s="144"/>
      <c r="AB14" s="144"/>
    </row>
    <row r="15">
      <c r="A15" s="144"/>
      <c r="B15" s="144"/>
      <c r="C15" s="144"/>
      <c r="D15" s="164"/>
      <c r="E15" s="164"/>
      <c r="F15" s="161"/>
      <c r="O15" s="154"/>
      <c r="P15" s="144"/>
      <c r="Q15" s="144"/>
      <c r="R15" s="144"/>
      <c r="S15" s="144"/>
      <c r="T15" s="144"/>
      <c r="U15" s="144"/>
      <c r="V15" s="144"/>
      <c r="W15" s="144"/>
      <c r="X15" s="144"/>
      <c r="Y15" s="144"/>
      <c r="Z15" s="144"/>
      <c r="AA15" s="144"/>
      <c r="AB15" s="144"/>
    </row>
    <row r="16" ht="3.75" customHeight="1">
      <c r="A16" s="144"/>
      <c r="B16" s="144"/>
      <c r="C16" s="144"/>
      <c r="D16" s="164"/>
      <c r="E16" s="164"/>
      <c r="F16" s="149"/>
      <c r="G16" s="150"/>
      <c r="H16" s="150"/>
      <c r="I16" s="150"/>
      <c r="J16" s="150"/>
      <c r="K16" s="150"/>
      <c r="L16" s="150"/>
      <c r="M16" s="150"/>
      <c r="N16" s="150"/>
      <c r="O16" s="151"/>
      <c r="P16" s="144"/>
      <c r="Q16" s="144"/>
      <c r="R16" s="144"/>
      <c r="S16" s="144"/>
      <c r="T16" s="144"/>
      <c r="U16" s="144"/>
      <c r="V16" s="144"/>
      <c r="W16" s="144"/>
      <c r="X16" s="144"/>
      <c r="Y16" s="144"/>
      <c r="Z16" s="144"/>
      <c r="AA16" s="144"/>
      <c r="AB16" s="144"/>
    </row>
    <row r="17">
      <c r="A17" s="144"/>
      <c r="B17" s="144"/>
      <c r="C17" s="144"/>
      <c r="D17" s="166"/>
      <c r="E17" s="166"/>
      <c r="F17" s="167" t="s">
        <v>194</v>
      </c>
      <c r="G17" s="168"/>
      <c r="H17" s="169" t="s">
        <v>195</v>
      </c>
      <c r="I17" s="168"/>
      <c r="J17" s="169" t="s">
        <v>196</v>
      </c>
      <c r="K17" s="168"/>
      <c r="L17" s="169" t="s">
        <v>197</v>
      </c>
      <c r="M17" s="168"/>
      <c r="N17" s="166" t="s">
        <v>198</v>
      </c>
      <c r="O17" s="154"/>
      <c r="P17" s="144"/>
      <c r="Q17" s="144"/>
      <c r="R17" s="144"/>
      <c r="S17" s="144"/>
      <c r="T17" s="144"/>
      <c r="U17" s="144"/>
      <c r="V17" s="144"/>
      <c r="W17" s="144"/>
      <c r="X17" s="144"/>
      <c r="Y17" s="144"/>
      <c r="Z17" s="144"/>
      <c r="AA17" s="144"/>
      <c r="AB17" s="144"/>
    </row>
    <row r="18">
      <c r="A18" s="144"/>
      <c r="B18" s="144"/>
      <c r="C18" s="144"/>
      <c r="D18" s="166"/>
      <c r="E18" s="166"/>
      <c r="F18" s="155"/>
      <c r="G18" s="170"/>
      <c r="H18" s="171"/>
      <c r="I18" s="170"/>
      <c r="J18" s="171"/>
      <c r="K18" s="170"/>
      <c r="L18" s="171"/>
      <c r="M18" s="170"/>
      <c r="N18" s="156"/>
      <c r="O18" s="157"/>
      <c r="P18" s="144"/>
      <c r="Q18" s="144"/>
      <c r="R18" s="144"/>
      <c r="S18" s="144"/>
      <c r="T18" s="144"/>
      <c r="U18" s="144"/>
      <c r="V18" s="144"/>
      <c r="W18" s="144"/>
      <c r="X18" s="144"/>
      <c r="Y18" s="144"/>
      <c r="Z18" s="144"/>
      <c r="AA18" s="144"/>
      <c r="AB18" s="144"/>
    </row>
    <row r="19" ht="73.5" customHeight="1">
      <c r="A19" s="144"/>
      <c r="B19" s="144"/>
      <c r="C19" s="144"/>
      <c r="D19" s="172"/>
      <c r="E19" s="172"/>
      <c r="F19" s="158" t="s">
        <v>199</v>
      </c>
      <c r="G19" s="173"/>
      <c r="H19" s="174" t="s">
        <v>200</v>
      </c>
      <c r="I19" s="173"/>
      <c r="J19" s="175">
        <v>4.0</v>
      </c>
      <c r="K19" s="173"/>
      <c r="L19" s="176" t="s">
        <v>201</v>
      </c>
      <c r="M19" s="173"/>
      <c r="N19" s="177" t="s">
        <v>202</v>
      </c>
      <c r="O19" s="154"/>
      <c r="P19" s="144"/>
      <c r="Q19" s="144"/>
      <c r="R19" s="144"/>
      <c r="S19" s="144"/>
      <c r="T19" s="144"/>
      <c r="U19" s="144"/>
      <c r="V19" s="144"/>
      <c r="W19" s="144"/>
      <c r="X19" s="144"/>
      <c r="Y19" s="144"/>
      <c r="Z19" s="144"/>
      <c r="AA19" s="144"/>
      <c r="AB19" s="144"/>
    </row>
    <row r="20" ht="90.75" customHeight="1">
      <c r="A20" s="144"/>
      <c r="B20" s="144"/>
      <c r="C20" s="144"/>
      <c r="D20" s="172"/>
      <c r="E20" s="172"/>
      <c r="F20" s="155"/>
      <c r="G20" s="170"/>
      <c r="H20" s="171"/>
      <c r="I20" s="170"/>
      <c r="J20" s="171"/>
      <c r="K20" s="170"/>
      <c r="L20" s="171"/>
      <c r="M20" s="170"/>
      <c r="N20" s="156"/>
      <c r="O20" s="157"/>
      <c r="P20" s="144"/>
      <c r="Q20" s="144"/>
      <c r="R20" s="144"/>
      <c r="S20" s="144"/>
      <c r="T20" s="144"/>
      <c r="U20" s="144"/>
      <c r="V20" s="144"/>
      <c r="W20" s="144"/>
      <c r="X20" s="144"/>
      <c r="Y20" s="144"/>
      <c r="Z20" s="144"/>
      <c r="AA20" s="144"/>
      <c r="AB20" s="144"/>
    </row>
    <row r="21">
      <c r="A21" s="144"/>
      <c r="B21" s="144"/>
      <c r="C21" s="144"/>
      <c r="D21" s="172"/>
      <c r="E21" s="172"/>
      <c r="F21" s="178" t="s">
        <v>203</v>
      </c>
      <c r="G21" s="173"/>
      <c r="H21" s="174" t="s">
        <v>204</v>
      </c>
      <c r="I21" s="173"/>
      <c r="J21" s="175">
        <v>2.0</v>
      </c>
      <c r="K21" s="173"/>
      <c r="L21" s="179" t="s">
        <v>205</v>
      </c>
      <c r="M21" s="168"/>
      <c r="N21" s="180">
        <v>364.185</v>
      </c>
      <c r="O21" s="154"/>
      <c r="P21" s="144"/>
      <c r="Q21" s="144"/>
      <c r="R21" s="144"/>
      <c r="S21" s="144"/>
      <c r="T21" s="144"/>
      <c r="U21" s="144"/>
      <c r="V21" s="144"/>
      <c r="W21" s="144"/>
      <c r="X21" s="144"/>
      <c r="Y21" s="144"/>
      <c r="Z21" s="144"/>
      <c r="AA21" s="144"/>
      <c r="AB21" s="144"/>
    </row>
    <row r="22" ht="33.0" customHeight="1">
      <c r="A22" s="144"/>
      <c r="B22" s="144"/>
      <c r="C22" s="144"/>
      <c r="D22" s="172"/>
      <c r="E22" s="172"/>
      <c r="F22" s="155"/>
      <c r="G22" s="170"/>
      <c r="H22" s="171"/>
      <c r="I22" s="170"/>
      <c r="J22" s="171"/>
      <c r="K22" s="170"/>
      <c r="L22" s="156"/>
      <c r="M22" s="170"/>
      <c r="N22" s="156"/>
      <c r="O22" s="157"/>
      <c r="P22" s="144"/>
      <c r="Q22" s="144"/>
      <c r="R22" s="144"/>
      <c r="S22" s="144"/>
      <c r="T22" s="144"/>
      <c r="U22" s="144"/>
      <c r="V22" s="144"/>
      <c r="W22" s="144"/>
      <c r="X22" s="144"/>
      <c r="Y22" s="144"/>
      <c r="Z22" s="144"/>
      <c r="AA22" s="144"/>
      <c r="AB22" s="144"/>
    </row>
    <row r="23">
      <c r="A23" s="144"/>
      <c r="B23" s="144"/>
      <c r="C23" s="144"/>
      <c r="D23" s="172"/>
      <c r="E23" s="172"/>
      <c r="F23" s="178" t="s">
        <v>206</v>
      </c>
      <c r="G23" s="173"/>
      <c r="H23" s="174" t="s">
        <v>207</v>
      </c>
      <c r="I23" s="173"/>
      <c r="J23" s="175">
        <v>1.0</v>
      </c>
      <c r="K23" s="173"/>
      <c r="L23" s="179" t="s">
        <v>208</v>
      </c>
      <c r="M23" s="168"/>
      <c r="N23" s="180">
        <v>37.773</v>
      </c>
      <c r="O23" s="154"/>
      <c r="P23" s="144"/>
      <c r="Q23" s="144"/>
      <c r="R23" s="144"/>
      <c r="S23" s="144"/>
      <c r="T23" s="144"/>
      <c r="U23" s="144"/>
      <c r="V23" s="144"/>
      <c r="W23" s="144"/>
      <c r="X23" s="144"/>
      <c r="Y23" s="144"/>
      <c r="Z23" s="144"/>
      <c r="AA23" s="144"/>
      <c r="AB23" s="144"/>
    </row>
    <row r="24">
      <c r="A24" s="144"/>
      <c r="B24" s="144"/>
      <c r="C24" s="144"/>
      <c r="D24" s="172"/>
      <c r="E24" s="172"/>
      <c r="F24" s="155"/>
      <c r="G24" s="170"/>
      <c r="H24" s="171"/>
      <c r="I24" s="170"/>
      <c r="J24" s="171"/>
      <c r="K24" s="170"/>
      <c r="L24" s="156"/>
      <c r="M24" s="170"/>
      <c r="N24" s="156"/>
      <c r="O24" s="157"/>
      <c r="P24" s="144"/>
      <c r="Q24" s="144"/>
      <c r="R24" s="144"/>
      <c r="S24" s="144"/>
      <c r="T24" s="144"/>
      <c r="U24" s="144"/>
      <c r="V24" s="144"/>
      <c r="W24" s="144"/>
      <c r="X24" s="144"/>
      <c r="Y24" s="144"/>
      <c r="Z24" s="144"/>
      <c r="AA24" s="144"/>
      <c r="AB24" s="144"/>
    </row>
    <row r="25">
      <c r="A25" s="144"/>
      <c r="B25" s="144"/>
      <c r="C25" s="144"/>
      <c r="D25" s="172"/>
      <c r="E25" s="172"/>
      <c r="F25" s="178" t="s">
        <v>209</v>
      </c>
      <c r="G25" s="173"/>
      <c r="H25" s="181" t="s">
        <v>159</v>
      </c>
      <c r="I25" s="168"/>
      <c r="J25" s="175">
        <v>1.0</v>
      </c>
      <c r="K25" s="173"/>
      <c r="L25" s="182" t="s">
        <v>210</v>
      </c>
      <c r="M25" s="173"/>
      <c r="N25" s="183">
        <v>26.9</v>
      </c>
      <c r="O25" s="160"/>
      <c r="P25" s="144"/>
      <c r="Q25" s="144"/>
      <c r="R25" s="144"/>
      <c r="S25" s="144"/>
      <c r="T25" s="144"/>
      <c r="U25" s="144"/>
      <c r="V25" s="144"/>
      <c r="W25" s="144"/>
      <c r="X25" s="144"/>
      <c r="Y25" s="144"/>
      <c r="Z25" s="144"/>
      <c r="AA25" s="144"/>
      <c r="AB25" s="144"/>
    </row>
    <row r="26" ht="31.5" customHeight="1">
      <c r="A26" s="144"/>
      <c r="B26" s="144"/>
      <c r="C26" s="144"/>
      <c r="D26" s="172"/>
      <c r="E26" s="172"/>
      <c r="F26" s="155"/>
      <c r="G26" s="170"/>
      <c r="H26" s="156"/>
      <c r="I26" s="170"/>
      <c r="J26" s="171"/>
      <c r="K26" s="170"/>
      <c r="L26" s="171"/>
      <c r="M26" s="170"/>
      <c r="N26" s="156"/>
      <c r="O26" s="157"/>
      <c r="P26" s="144"/>
      <c r="Q26" s="144"/>
      <c r="R26" s="144"/>
      <c r="S26" s="144"/>
      <c r="T26" s="144"/>
      <c r="U26" s="144"/>
      <c r="V26" s="144"/>
      <c r="W26" s="144"/>
      <c r="X26" s="144"/>
      <c r="Y26" s="144"/>
      <c r="Z26" s="144"/>
      <c r="AA26" s="144"/>
      <c r="AB26" s="144"/>
    </row>
    <row r="27" ht="31.5" customHeight="1">
      <c r="A27" s="144"/>
      <c r="B27" s="144"/>
      <c r="C27" s="144"/>
      <c r="D27" s="172"/>
      <c r="E27" s="172"/>
      <c r="F27" s="178" t="s">
        <v>211</v>
      </c>
      <c r="G27" s="173"/>
      <c r="H27" s="174" t="s">
        <v>212</v>
      </c>
      <c r="I27" s="173"/>
      <c r="J27" s="175">
        <v>5.0</v>
      </c>
      <c r="K27" s="173"/>
      <c r="L27" s="182" t="s">
        <v>213</v>
      </c>
      <c r="M27" s="173"/>
      <c r="N27" s="182" t="s">
        <v>214</v>
      </c>
      <c r="O27" s="160"/>
      <c r="P27" s="144"/>
      <c r="Q27" s="144"/>
      <c r="R27" s="144"/>
      <c r="S27" s="144"/>
      <c r="T27" s="144"/>
      <c r="U27" s="144"/>
      <c r="V27" s="144"/>
      <c r="W27" s="144"/>
      <c r="X27" s="144"/>
      <c r="Y27" s="144"/>
      <c r="Z27" s="144"/>
      <c r="AA27" s="144"/>
      <c r="AB27" s="144"/>
    </row>
    <row r="28" ht="46.5" customHeight="1">
      <c r="A28" s="144"/>
      <c r="B28" s="144"/>
      <c r="C28" s="144"/>
      <c r="D28" s="172"/>
      <c r="E28" s="172"/>
      <c r="F28" s="149"/>
      <c r="G28" s="184"/>
      <c r="H28" s="185"/>
      <c r="I28" s="184"/>
      <c r="J28" s="185"/>
      <c r="K28" s="184"/>
      <c r="L28" s="185"/>
      <c r="M28" s="184"/>
      <c r="N28" s="185"/>
      <c r="O28" s="151"/>
      <c r="P28" s="144"/>
      <c r="Q28" s="144"/>
      <c r="R28" s="144"/>
      <c r="S28" s="144"/>
      <c r="T28" s="144"/>
      <c r="U28" s="144"/>
      <c r="V28" s="144"/>
      <c r="W28" s="144"/>
      <c r="X28" s="144"/>
      <c r="Y28" s="144"/>
      <c r="Z28" s="144"/>
      <c r="AA28" s="144"/>
      <c r="AB28" s="144"/>
    </row>
    <row r="29">
      <c r="A29" s="144"/>
      <c r="B29" s="144"/>
      <c r="C29" s="144"/>
      <c r="D29" s="172"/>
      <c r="E29" s="172"/>
      <c r="F29" s="166"/>
      <c r="G29" s="166"/>
      <c r="H29" s="166"/>
      <c r="I29" s="166"/>
      <c r="J29" s="166"/>
      <c r="K29" s="166"/>
      <c r="L29" s="186" t="s">
        <v>215</v>
      </c>
      <c r="M29" s="148"/>
      <c r="N29" s="186" t="s">
        <v>216</v>
      </c>
      <c r="O29" s="148"/>
      <c r="P29" s="144"/>
      <c r="Q29" s="144"/>
      <c r="R29" s="144"/>
      <c r="S29" s="144"/>
      <c r="T29" s="144"/>
      <c r="U29" s="144"/>
      <c r="V29" s="144"/>
      <c r="W29" s="144"/>
      <c r="X29" s="144"/>
      <c r="Y29" s="144"/>
      <c r="Z29" s="144"/>
      <c r="AA29" s="144"/>
      <c r="AB29" s="144"/>
    </row>
    <row r="30">
      <c r="A30" s="144"/>
      <c r="B30" s="144"/>
      <c r="C30" s="144"/>
      <c r="D30" s="172"/>
      <c r="E30" s="172"/>
      <c r="F30" s="166"/>
      <c r="G30" s="166"/>
      <c r="H30" s="166"/>
      <c r="I30" s="166"/>
      <c r="J30" s="166"/>
      <c r="K30" s="166"/>
      <c r="L30" s="149"/>
      <c r="M30" s="151"/>
      <c r="N30" s="149"/>
      <c r="O30" s="151"/>
      <c r="P30" s="144"/>
      <c r="Q30" s="144"/>
      <c r="R30" s="144"/>
      <c r="S30" s="144"/>
      <c r="T30" s="144"/>
      <c r="U30" s="144"/>
      <c r="V30" s="144"/>
      <c r="W30" s="144"/>
      <c r="X30" s="144"/>
      <c r="Y30" s="144"/>
      <c r="Z30" s="144"/>
      <c r="AA30" s="144"/>
      <c r="AB30" s="144"/>
    </row>
    <row r="31">
      <c r="A31" s="144"/>
      <c r="B31" s="144"/>
      <c r="C31" s="144"/>
      <c r="D31" s="144"/>
      <c r="E31" s="144"/>
      <c r="F31" s="144"/>
      <c r="G31" s="144"/>
      <c r="H31" s="144"/>
      <c r="I31" s="144"/>
      <c r="J31" s="144"/>
      <c r="K31" s="144"/>
      <c r="L31" s="144"/>
      <c r="M31" s="144"/>
      <c r="N31" s="144"/>
      <c r="O31" s="144"/>
      <c r="P31" s="144"/>
      <c r="Q31" s="144"/>
      <c r="R31" s="144"/>
      <c r="S31" s="144"/>
      <c r="T31" s="144"/>
      <c r="U31" s="144"/>
      <c r="V31" s="144"/>
      <c r="W31" s="144"/>
      <c r="X31" s="144"/>
      <c r="Y31" s="144"/>
      <c r="Z31" s="144"/>
      <c r="AA31" s="144"/>
      <c r="AB31" s="144"/>
    </row>
    <row r="32">
      <c r="A32" s="144"/>
      <c r="B32" s="144"/>
      <c r="C32" s="144"/>
      <c r="D32" s="144"/>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row>
    <row r="33">
      <c r="A33" s="144"/>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row>
    <row r="34">
      <c r="A34" s="144"/>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4"/>
    </row>
    <row r="35">
      <c r="A35" s="144"/>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4"/>
    </row>
    <row r="36">
      <c r="A36" s="144"/>
      <c r="B36" s="144"/>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c r="AA36" s="144"/>
      <c r="AB36" s="144"/>
    </row>
    <row r="37">
      <c r="A37" s="144"/>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4"/>
    </row>
    <row r="38">
      <c r="A38" s="144"/>
      <c r="B38" s="144"/>
      <c r="C38" s="144"/>
      <c r="D38" s="144"/>
      <c r="E38" s="144"/>
      <c r="F38" s="144"/>
      <c r="G38" s="144"/>
      <c r="H38" s="144"/>
      <c r="I38" s="144"/>
      <c r="J38" s="144"/>
      <c r="K38" s="144"/>
      <c r="L38" s="144"/>
      <c r="M38" s="144"/>
      <c r="N38" s="144"/>
      <c r="O38" s="144"/>
      <c r="P38" s="144"/>
      <c r="Q38" s="144"/>
      <c r="R38" s="144"/>
      <c r="S38" s="144"/>
      <c r="T38" s="144"/>
      <c r="U38" s="144"/>
      <c r="V38" s="144"/>
      <c r="W38" s="144"/>
      <c r="X38" s="144"/>
      <c r="Y38" s="144"/>
      <c r="Z38" s="144"/>
      <c r="AA38" s="144"/>
      <c r="AB38" s="144"/>
    </row>
    <row r="39">
      <c r="A39" s="144"/>
      <c r="B39" s="144"/>
      <c r="C39" s="144"/>
      <c r="D39" s="144"/>
      <c r="E39" s="144"/>
      <c r="F39" s="144"/>
      <c r="G39" s="144"/>
      <c r="H39" s="144"/>
      <c r="I39" s="144"/>
      <c r="J39" s="144"/>
      <c r="K39" s="144"/>
      <c r="L39" s="144"/>
      <c r="M39" s="144"/>
      <c r="N39" s="144"/>
      <c r="O39" s="144"/>
      <c r="P39" s="144"/>
      <c r="Q39" s="144"/>
      <c r="R39" s="144"/>
      <c r="S39" s="144"/>
      <c r="T39" s="144"/>
      <c r="U39" s="144"/>
      <c r="V39" s="144"/>
      <c r="W39" s="144"/>
      <c r="X39" s="144"/>
      <c r="Y39" s="144"/>
      <c r="Z39" s="144"/>
      <c r="AA39" s="144"/>
      <c r="AB39" s="144"/>
    </row>
    <row r="40">
      <c r="A40" s="144"/>
      <c r="B40" s="144"/>
      <c r="C40" s="144"/>
      <c r="D40" s="144"/>
      <c r="E40" s="144"/>
      <c r="F40" s="144"/>
      <c r="G40" s="144"/>
      <c r="H40" s="144"/>
      <c r="I40" s="144"/>
      <c r="J40" s="144"/>
      <c r="K40" s="144"/>
      <c r="L40" s="144"/>
      <c r="M40" s="144"/>
      <c r="N40" s="144"/>
      <c r="O40" s="144"/>
      <c r="P40" s="144"/>
      <c r="Q40" s="144"/>
      <c r="R40" s="144"/>
      <c r="S40" s="144"/>
      <c r="T40" s="144"/>
      <c r="U40" s="144"/>
      <c r="V40" s="144"/>
      <c r="W40" s="144"/>
      <c r="X40" s="144"/>
      <c r="Y40" s="144"/>
      <c r="Z40" s="144"/>
      <c r="AA40" s="144"/>
      <c r="AB40" s="144"/>
    </row>
    <row r="41">
      <c r="A41" s="144"/>
      <c r="B41" s="144"/>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row>
    <row r="42">
      <c r="A42" s="144"/>
      <c r="B42" s="144"/>
      <c r="C42" s="144"/>
      <c r="D42" s="144"/>
      <c r="E42" s="144"/>
      <c r="F42" s="144"/>
      <c r="G42" s="144"/>
      <c r="H42" s="144"/>
      <c r="I42" s="144"/>
      <c r="J42" s="144"/>
      <c r="K42" s="144"/>
      <c r="L42" s="144"/>
      <c r="M42" s="144"/>
      <c r="N42" s="144"/>
      <c r="O42" s="144"/>
      <c r="P42" s="144"/>
      <c r="Q42" s="144"/>
      <c r="R42" s="144"/>
      <c r="S42" s="144"/>
      <c r="T42" s="144"/>
      <c r="U42" s="144"/>
      <c r="V42" s="144"/>
      <c r="W42" s="144"/>
      <c r="X42" s="144"/>
      <c r="Y42" s="144"/>
      <c r="Z42" s="144"/>
      <c r="AA42" s="144"/>
      <c r="AB42" s="144"/>
    </row>
    <row r="43">
      <c r="A43" s="144"/>
      <c r="B43" s="144"/>
      <c r="C43" s="144"/>
      <c r="D43" s="144"/>
      <c r="E43" s="144"/>
      <c r="F43" s="144"/>
      <c r="G43" s="144"/>
      <c r="H43" s="144"/>
      <c r="I43" s="144"/>
      <c r="J43" s="144"/>
      <c r="K43" s="144"/>
      <c r="L43" s="144"/>
      <c r="M43" s="144"/>
      <c r="N43" s="144"/>
      <c r="O43" s="144"/>
      <c r="P43" s="144"/>
      <c r="Q43" s="144"/>
      <c r="R43" s="144"/>
      <c r="S43" s="144"/>
      <c r="T43" s="144"/>
      <c r="U43" s="144"/>
      <c r="V43" s="144"/>
      <c r="W43" s="144"/>
      <c r="X43" s="144"/>
      <c r="Y43" s="144"/>
      <c r="Z43" s="144"/>
      <c r="AA43" s="144"/>
      <c r="AB43" s="144"/>
    </row>
    <row r="44">
      <c r="A44" s="144"/>
      <c r="B44" s="144"/>
      <c r="C44" s="144"/>
      <c r="D44" s="144"/>
      <c r="E44" s="144"/>
      <c r="F44" s="144"/>
      <c r="G44" s="144"/>
      <c r="H44" s="144"/>
      <c r="I44" s="144"/>
      <c r="J44" s="144"/>
      <c r="K44" s="144"/>
      <c r="L44" s="144"/>
      <c r="M44" s="144"/>
      <c r="N44" s="144"/>
      <c r="O44" s="144"/>
      <c r="P44" s="144"/>
      <c r="Q44" s="144"/>
      <c r="R44" s="144"/>
      <c r="S44" s="144"/>
      <c r="T44" s="144"/>
      <c r="U44" s="144"/>
      <c r="V44" s="144"/>
      <c r="W44" s="144"/>
      <c r="X44" s="144"/>
      <c r="Y44" s="144"/>
      <c r="Z44" s="144"/>
      <c r="AA44" s="144"/>
      <c r="AB44" s="144"/>
    </row>
    <row r="45">
      <c r="A45" s="144"/>
      <c r="B45" s="144"/>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row>
    <row r="46">
      <c r="A46" s="144"/>
      <c r="B46" s="144"/>
      <c r="C46" s="144"/>
      <c r="D46" s="144"/>
      <c r="E46" s="144"/>
      <c r="F46" s="144"/>
      <c r="G46" s="144"/>
      <c r="H46" s="144"/>
      <c r="I46" s="144"/>
      <c r="J46" s="144"/>
      <c r="K46" s="144"/>
      <c r="L46" s="144"/>
      <c r="M46" s="144"/>
      <c r="N46" s="144"/>
      <c r="O46" s="144"/>
      <c r="P46" s="144"/>
      <c r="Q46" s="144"/>
      <c r="R46" s="144"/>
      <c r="S46" s="144"/>
      <c r="T46" s="144"/>
      <c r="U46" s="144"/>
      <c r="V46" s="144"/>
      <c r="W46" s="144"/>
      <c r="X46" s="144"/>
      <c r="Y46" s="144"/>
      <c r="Z46" s="144"/>
      <c r="AA46" s="144"/>
      <c r="AB46" s="144"/>
    </row>
    <row r="47">
      <c r="A47" s="144"/>
      <c r="B47" s="144"/>
      <c r="C47" s="144"/>
      <c r="D47" s="144"/>
      <c r="E47" s="144"/>
      <c r="F47" s="144"/>
      <c r="G47" s="144"/>
      <c r="H47" s="144"/>
      <c r="I47" s="144"/>
      <c r="J47" s="144"/>
      <c r="K47" s="144"/>
      <c r="L47" s="144"/>
      <c r="M47" s="144"/>
      <c r="N47" s="144"/>
      <c r="O47" s="144"/>
      <c r="P47" s="144"/>
      <c r="Q47" s="144"/>
      <c r="R47" s="144"/>
      <c r="S47" s="144"/>
      <c r="T47" s="144"/>
      <c r="U47" s="144"/>
      <c r="V47" s="144"/>
      <c r="W47" s="144"/>
      <c r="X47" s="144"/>
      <c r="Y47" s="144"/>
      <c r="Z47" s="144"/>
      <c r="AA47" s="144"/>
      <c r="AB47" s="144"/>
    </row>
    <row r="48">
      <c r="A48" s="144"/>
      <c r="B48" s="144"/>
      <c r="C48" s="144"/>
      <c r="D48" s="144"/>
      <c r="E48" s="144"/>
      <c r="F48" s="144"/>
      <c r="G48" s="144"/>
      <c r="H48" s="144"/>
      <c r="I48" s="144"/>
      <c r="J48" s="144"/>
      <c r="K48" s="144"/>
      <c r="L48" s="144"/>
      <c r="M48" s="144"/>
      <c r="N48" s="144"/>
      <c r="O48" s="144"/>
      <c r="P48" s="144"/>
      <c r="Q48" s="144"/>
      <c r="R48" s="144"/>
      <c r="S48" s="144"/>
      <c r="T48" s="144"/>
      <c r="U48" s="144"/>
      <c r="V48" s="144"/>
      <c r="W48" s="144"/>
      <c r="X48" s="144"/>
      <c r="Y48" s="144"/>
      <c r="Z48" s="144"/>
      <c r="AA48" s="144"/>
      <c r="AB48" s="144"/>
    </row>
    <row r="49">
      <c r="A49" s="144"/>
      <c r="B49" s="144"/>
      <c r="C49" s="144"/>
      <c r="D49" s="144"/>
      <c r="E49" s="144"/>
      <c r="F49" s="144"/>
      <c r="G49" s="144"/>
      <c r="H49" s="144"/>
      <c r="I49" s="144"/>
      <c r="J49" s="144"/>
      <c r="K49" s="144"/>
      <c r="L49" s="144"/>
      <c r="M49" s="144"/>
      <c r="N49" s="144"/>
      <c r="O49" s="144"/>
      <c r="P49" s="144"/>
      <c r="Q49" s="144"/>
      <c r="R49" s="144"/>
      <c r="S49" s="144"/>
      <c r="T49" s="144"/>
      <c r="U49" s="144"/>
      <c r="V49" s="144"/>
      <c r="W49" s="144"/>
      <c r="X49" s="144"/>
      <c r="Y49" s="144"/>
      <c r="Z49" s="144"/>
      <c r="AA49" s="144"/>
      <c r="AB49" s="144"/>
    </row>
    <row r="50">
      <c r="A50" s="144"/>
      <c r="B50" s="144"/>
      <c r="C50" s="144"/>
      <c r="D50" s="144"/>
      <c r="E50" s="144"/>
      <c r="F50" s="144"/>
      <c r="G50" s="144"/>
      <c r="H50" s="144"/>
      <c r="I50" s="144"/>
      <c r="J50" s="144"/>
      <c r="K50" s="144"/>
      <c r="L50" s="144"/>
      <c r="M50" s="144"/>
      <c r="N50" s="144"/>
      <c r="O50" s="144"/>
      <c r="P50" s="144"/>
      <c r="Q50" s="144"/>
      <c r="R50" s="144"/>
      <c r="S50" s="144"/>
      <c r="T50" s="144"/>
      <c r="U50" s="144"/>
      <c r="V50" s="144"/>
      <c r="W50" s="144"/>
      <c r="X50" s="144"/>
      <c r="Y50" s="144"/>
      <c r="Z50" s="144"/>
      <c r="AA50" s="144"/>
      <c r="AB50" s="144"/>
    </row>
    <row r="51">
      <c r="A51" s="144"/>
      <c r="B51" s="144"/>
      <c r="C51" s="144"/>
      <c r="D51" s="144"/>
      <c r="E51" s="144"/>
      <c r="F51" s="144"/>
      <c r="G51" s="144"/>
      <c r="H51" s="144"/>
      <c r="I51" s="144"/>
      <c r="J51" s="144"/>
      <c r="K51" s="144"/>
      <c r="L51" s="144"/>
      <c r="M51" s="144"/>
      <c r="N51" s="144"/>
      <c r="O51" s="144"/>
      <c r="P51" s="144"/>
      <c r="Q51" s="144"/>
      <c r="R51" s="144"/>
      <c r="S51" s="144"/>
      <c r="T51" s="144"/>
      <c r="U51" s="144"/>
      <c r="V51" s="144"/>
      <c r="W51" s="144"/>
      <c r="X51" s="144"/>
      <c r="Y51" s="144"/>
      <c r="Z51" s="144"/>
      <c r="AA51" s="144"/>
      <c r="AB51" s="144"/>
    </row>
    <row r="52">
      <c r="A52" s="144"/>
      <c r="B52" s="144"/>
      <c r="C52" s="144"/>
      <c r="D52" s="144"/>
      <c r="E52" s="144"/>
      <c r="F52" s="144"/>
      <c r="G52" s="144"/>
      <c r="H52" s="144"/>
      <c r="I52" s="144"/>
      <c r="J52" s="144"/>
      <c r="K52" s="144"/>
      <c r="L52" s="144"/>
      <c r="M52" s="144"/>
      <c r="N52" s="144"/>
      <c r="O52" s="144"/>
      <c r="P52" s="144"/>
      <c r="Q52" s="144"/>
      <c r="R52" s="144"/>
      <c r="S52" s="144"/>
      <c r="T52" s="144"/>
      <c r="U52" s="144"/>
      <c r="V52" s="144"/>
      <c r="W52" s="144"/>
      <c r="X52" s="144"/>
      <c r="Y52" s="144"/>
      <c r="Z52" s="144"/>
      <c r="AA52" s="144"/>
      <c r="AB52" s="144"/>
    </row>
    <row r="53">
      <c r="A53" s="144"/>
      <c r="B53" s="144"/>
      <c r="C53" s="144"/>
      <c r="D53" s="144"/>
      <c r="E53" s="144"/>
      <c r="F53" s="144"/>
      <c r="G53" s="144"/>
      <c r="H53" s="144"/>
      <c r="I53" s="144"/>
      <c r="J53" s="144"/>
      <c r="K53" s="144"/>
      <c r="L53" s="144"/>
      <c r="M53" s="144"/>
      <c r="N53" s="144"/>
      <c r="O53" s="144"/>
      <c r="P53" s="144"/>
      <c r="Q53" s="144"/>
      <c r="R53" s="144"/>
      <c r="S53" s="144"/>
      <c r="T53" s="144"/>
      <c r="U53" s="144"/>
      <c r="V53" s="144"/>
      <c r="W53" s="144"/>
      <c r="X53" s="144"/>
      <c r="Y53" s="144"/>
      <c r="Z53" s="144"/>
      <c r="AA53" s="144"/>
      <c r="AB53" s="144"/>
    </row>
    <row r="54">
      <c r="A54" s="144"/>
      <c r="B54" s="144"/>
      <c r="C54" s="144"/>
      <c r="D54" s="144"/>
      <c r="E54" s="144"/>
      <c r="F54" s="144"/>
      <c r="G54" s="144"/>
      <c r="H54" s="144"/>
      <c r="I54" s="144"/>
      <c r="J54" s="144"/>
      <c r="K54" s="144"/>
      <c r="L54" s="144"/>
      <c r="M54" s="144"/>
      <c r="N54" s="144"/>
      <c r="O54" s="144"/>
      <c r="P54" s="144"/>
      <c r="Q54" s="144"/>
      <c r="R54" s="144"/>
      <c r="S54" s="144"/>
      <c r="T54" s="144"/>
      <c r="U54" s="144"/>
      <c r="V54" s="144"/>
      <c r="W54" s="144"/>
      <c r="X54" s="144"/>
      <c r="Y54" s="144"/>
      <c r="Z54" s="144"/>
      <c r="AA54" s="144"/>
      <c r="AB54" s="144"/>
    </row>
    <row r="55">
      <c r="A55" s="144"/>
      <c r="B55" s="144"/>
      <c r="C55" s="144"/>
      <c r="D55" s="144"/>
      <c r="E55" s="144"/>
      <c r="F55" s="144"/>
      <c r="G55" s="144"/>
      <c r="H55" s="144"/>
      <c r="I55" s="144"/>
      <c r="J55" s="144"/>
      <c r="K55" s="144"/>
      <c r="L55" s="144"/>
      <c r="M55" s="144"/>
      <c r="N55" s="144"/>
      <c r="O55" s="144"/>
      <c r="P55" s="144"/>
      <c r="Q55" s="144"/>
      <c r="R55" s="144"/>
      <c r="S55" s="144"/>
      <c r="T55" s="144"/>
      <c r="U55" s="144"/>
      <c r="V55" s="144"/>
      <c r="W55" s="144"/>
      <c r="X55" s="144"/>
      <c r="Y55" s="144"/>
      <c r="Z55" s="144"/>
      <c r="AA55" s="144"/>
      <c r="AB55" s="144"/>
    </row>
    <row r="56">
      <c r="A56" s="144"/>
      <c r="B56" s="144"/>
      <c r="C56" s="144"/>
      <c r="D56" s="144"/>
      <c r="E56" s="144"/>
      <c r="F56" s="144"/>
      <c r="G56" s="144"/>
      <c r="H56" s="144"/>
      <c r="I56" s="144"/>
      <c r="J56" s="144"/>
      <c r="K56" s="144"/>
      <c r="L56" s="144"/>
      <c r="M56" s="144"/>
      <c r="N56" s="144"/>
      <c r="O56" s="144"/>
      <c r="P56" s="144"/>
      <c r="Q56" s="144"/>
      <c r="R56" s="144"/>
      <c r="S56" s="144"/>
      <c r="T56" s="144"/>
      <c r="U56" s="144"/>
      <c r="V56" s="144"/>
      <c r="W56" s="144"/>
      <c r="X56" s="144"/>
      <c r="Y56" s="144"/>
      <c r="Z56" s="144"/>
      <c r="AA56" s="144"/>
      <c r="AB56" s="144"/>
    </row>
    <row r="57">
      <c r="A57" s="144"/>
      <c r="B57" s="144"/>
      <c r="C57" s="144"/>
      <c r="D57" s="144"/>
      <c r="E57" s="144"/>
      <c r="F57" s="144"/>
      <c r="G57" s="144"/>
      <c r="H57" s="144"/>
      <c r="I57" s="144"/>
      <c r="J57" s="144"/>
      <c r="K57" s="144"/>
      <c r="L57" s="144"/>
      <c r="M57" s="144"/>
      <c r="N57" s="144"/>
      <c r="O57" s="144"/>
      <c r="P57" s="144"/>
      <c r="Q57" s="144"/>
      <c r="R57" s="144"/>
      <c r="S57" s="144"/>
      <c r="T57" s="144"/>
      <c r="U57" s="144"/>
      <c r="V57" s="144"/>
      <c r="W57" s="144"/>
      <c r="X57" s="144"/>
      <c r="Y57" s="144"/>
      <c r="Z57" s="144"/>
      <c r="AA57" s="144"/>
      <c r="AB57" s="144"/>
    </row>
    <row r="58">
      <c r="A58" s="144"/>
      <c r="B58" s="144"/>
      <c r="C58" s="144"/>
      <c r="D58" s="144"/>
      <c r="E58" s="144"/>
      <c r="F58" s="144"/>
      <c r="G58" s="144"/>
      <c r="H58" s="144"/>
      <c r="I58" s="144"/>
      <c r="J58" s="144"/>
      <c r="K58" s="144"/>
      <c r="L58" s="144"/>
      <c r="M58" s="144"/>
      <c r="N58" s="144"/>
      <c r="O58" s="144"/>
      <c r="P58" s="144"/>
      <c r="Q58" s="144"/>
      <c r="R58" s="144"/>
      <c r="S58" s="144"/>
      <c r="T58" s="144"/>
      <c r="U58" s="144"/>
      <c r="V58" s="144"/>
      <c r="W58" s="144"/>
      <c r="X58" s="144"/>
      <c r="Y58" s="144"/>
      <c r="Z58" s="144"/>
      <c r="AA58" s="144"/>
      <c r="AB58" s="144"/>
    </row>
    <row r="59">
      <c r="A59" s="144"/>
      <c r="B59" s="144"/>
      <c r="C59" s="144"/>
      <c r="D59" s="144"/>
      <c r="E59" s="144"/>
      <c r="F59" s="144"/>
      <c r="G59" s="144"/>
      <c r="H59" s="144"/>
      <c r="I59" s="144"/>
      <c r="J59" s="144"/>
      <c r="K59" s="144"/>
      <c r="L59" s="144"/>
      <c r="M59" s="144"/>
      <c r="N59" s="144"/>
      <c r="O59" s="144"/>
      <c r="P59" s="144"/>
      <c r="Q59" s="144"/>
      <c r="R59" s="144"/>
      <c r="S59" s="144"/>
      <c r="T59" s="144"/>
      <c r="U59" s="144"/>
      <c r="V59" s="144"/>
      <c r="W59" s="144"/>
      <c r="X59" s="144"/>
      <c r="Y59" s="144"/>
      <c r="Z59" s="144"/>
      <c r="AA59" s="144"/>
      <c r="AB59" s="144"/>
    </row>
    <row r="60">
      <c r="A60" s="144"/>
      <c r="B60" s="144"/>
      <c r="C60" s="144"/>
      <c r="D60" s="144"/>
      <c r="E60" s="144"/>
      <c r="F60" s="144"/>
      <c r="G60" s="144"/>
      <c r="H60" s="144"/>
      <c r="I60" s="144"/>
      <c r="J60" s="144"/>
      <c r="K60" s="144"/>
      <c r="L60" s="144"/>
      <c r="M60" s="144"/>
      <c r="N60" s="144"/>
      <c r="O60" s="144"/>
      <c r="P60" s="144"/>
      <c r="Q60" s="144"/>
      <c r="R60" s="144"/>
      <c r="S60" s="144"/>
      <c r="T60" s="144"/>
      <c r="U60" s="144"/>
      <c r="V60" s="144"/>
      <c r="W60" s="144"/>
      <c r="X60" s="144"/>
      <c r="Y60" s="144"/>
      <c r="Z60" s="144"/>
      <c r="AA60" s="144"/>
      <c r="AB60" s="144"/>
    </row>
    <row r="61">
      <c r="A61" s="144"/>
      <c r="B61" s="144"/>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row>
    <row r="62">
      <c r="A62" s="144"/>
      <c r="B62" s="144"/>
      <c r="C62" s="144"/>
      <c r="D62" s="144"/>
      <c r="E62" s="144"/>
      <c r="F62" s="144"/>
      <c r="G62" s="144"/>
      <c r="H62" s="144"/>
      <c r="I62" s="144"/>
      <c r="J62" s="144"/>
      <c r="K62" s="144"/>
      <c r="L62" s="144"/>
      <c r="M62" s="144"/>
      <c r="N62" s="144"/>
      <c r="O62" s="144"/>
      <c r="P62" s="144"/>
      <c r="Q62" s="144"/>
      <c r="R62" s="144"/>
      <c r="S62" s="144"/>
      <c r="T62" s="144"/>
      <c r="U62" s="144"/>
      <c r="V62" s="144"/>
      <c r="W62" s="144"/>
      <c r="X62" s="144"/>
      <c r="Y62" s="144"/>
      <c r="Z62" s="144"/>
      <c r="AA62" s="144"/>
      <c r="AB62" s="144"/>
    </row>
    <row r="63">
      <c r="A63" s="144"/>
      <c r="B63" s="144"/>
      <c r="C63" s="144"/>
      <c r="D63" s="144"/>
      <c r="E63" s="144"/>
      <c r="F63" s="144"/>
      <c r="G63" s="144"/>
      <c r="H63" s="144"/>
      <c r="I63" s="144"/>
      <c r="J63" s="144"/>
      <c r="K63" s="144"/>
      <c r="L63" s="144"/>
      <c r="M63" s="144"/>
      <c r="N63" s="144"/>
      <c r="O63" s="144"/>
      <c r="P63" s="144"/>
      <c r="Q63" s="144"/>
      <c r="R63" s="144"/>
      <c r="S63" s="144"/>
      <c r="T63" s="144"/>
      <c r="U63" s="144"/>
      <c r="V63" s="144"/>
      <c r="W63" s="144"/>
      <c r="X63" s="144"/>
      <c r="Y63" s="144"/>
      <c r="Z63" s="144"/>
      <c r="AA63" s="144"/>
      <c r="AB63" s="144"/>
    </row>
    <row r="64">
      <c r="A64" s="144"/>
      <c r="B64" s="144"/>
      <c r="C64" s="144"/>
      <c r="D64" s="144"/>
      <c r="E64" s="144"/>
      <c r="F64" s="144"/>
      <c r="G64" s="144"/>
      <c r="H64" s="144"/>
      <c r="I64" s="144"/>
      <c r="J64" s="144"/>
      <c r="K64" s="144"/>
      <c r="L64" s="144"/>
      <c r="M64" s="144"/>
      <c r="N64" s="144"/>
      <c r="O64" s="144"/>
      <c r="P64" s="144"/>
      <c r="Q64" s="144"/>
      <c r="R64" s="144"/>
      <c r="S64" s="144"/>
      <c r="T64" s="144"/>
      <c r="U64" s="144"/>
      <c r="V64" s="144"/>
      <c r="W64" s="144"/>
      <c r="X64" s="144"/>
      <c r="Y64" s="144"/>
      <c r="Z64" s="144"/>
      <c r="AA64" s="144"/>
      <c r="AB64" s="144"/>
    </row>
    <row r="65">
      <c r="A65" s="144"/>
      <c r="B65" s="144"/>
      <c r="C65" s="144"/>
      <c r="D65" s="144"/>
      <c r="E65" s="144"/>
      <c r="F65" s="144"/>
      <c r="G65" s="144"/>
      <c r="H65" s="144"/>
      <c r="I65" s="144"/>
      <c r="J65" s="144"/>
      <c r="K65" s="144"/>
      <c r="L65" s="144"/>
      <c r="M65" s="144"/>
      <c r="N65" s="144"/>
      <c r="O65" s="144"/>
      <c r="P65" s="144"/>
      <c r="Q65" s="144"/>
      <c r="R65" s="144"/>
      <c r="S65" s="144"/>
      <c r="T65" s="144"/>
      <c r="U65" s="144"/>
      <c r="V65" s="144"/>
      <c r="W65" s="144"/>
      <c r="X65" s="144"/>
      <c r="Y65" s="144"/>
      <c r="Z65" s="144"/>
      <c r="AA65" s="144"/>
      <c r="AB65" s="144"/>
    </row>
    <row r="66">
      <c r="A66" s="144"/>
      <c r="B66" s="144"/>
      <c r="C66" s="144"/>
      <c r="D66" s="144"/>
      <c r="E66" s="144"/>
      <c r="F66" s="144"/>
      <c r="G66" s="144"/>
      <c r="H66" s="144"/>
      <c r="I66" s="144"/>
      <c r="J66" s="144"/>
      <c r="K66" s="144"/>
      <c r="L66" s="144"/>
      <c r="M66" s="144"/>
      <c r="N66" s="144"/>
      <c r="O66" s="144"/>
      <c r="P66" s="144"/>
      <c r="Q66" s="144"/>
      <c r="R66" s="144"/>
      <c r="S66" s="144"/>
      <c r="T66" s="144"/>
      <c r="U66" s="144"/>
      <c r="V66" s="144"/>
      <c r="W66" s="144"/>
      <c r="X66" s="144"/>
      <c r="Y66" s="144"/>
      <c r="Z66" s="144"/>
      <c r="AA66" s="144"/>
      <c r="AB66" s="144"/>
    </row>
    <row r="67">
      <c r="A67" s="144"/>
      <c r="B67" s="144"/>
      <c r="C67" s="144"/>
      <c r="D67" s="144"/>
      <c r="E67" s="144"/>
      <c r="F67" s="144"/>
      <c r="G67" s="144"/>
      <c r="H67" s="144"/>
      <c r="I67" s="144"/>
      <c r="J67" s="144"/>
      <c r="K67" s="144"/>
      <c r="L67" s="144"/>
      <c r="M67" s="144"/>
      <c r="N67" s="144"/>
      <c r="O67" s="144"/>
      <c r="P67" s="144"/>
      <c r="Q67" s="144"/>
      <c r="R67" s="144"/>
      <c r="S67" s="144"/>
      <c r="T67" s="144"/>
      <c r="U67" s="144"/>
      <c r="V67" s="144"/>
      <c r="W67" s="144"/>
      <c r="X67" s="144"/>
      <c r="Y67" s="144"/>
      <c r="Z67" s="144"/>
      <c r="AA67" s="144"/>
      <c r="AB67" s="144"/>
    </row>
  </sheetData>
  <mergeCells count="39">
    <mergeCell ref="F2:O3"/>
    <mergeCell ref="F4:O5"/>
    <mergeCell ref="F6:O7"/>
    <mergeCell ref="F8:O9"/>
    <mergeCell ref="F10:O11"/>
    <mergeCell ref="F12:O13"/>
    <mergeCell ref="F14:O16"/>
    <mergeCell ref="J19:K20"/>
    <mergeCell ref="L19:M20"/>
    <mergeCell ref="F17:G18"/>
    <mergeCell ref="H17:I18"/>
    <mergeCell ref="J17:K18"/>
    <mergeCell ref="L17:M18"/>
    <mergeCell ref="N17:O18"/>
    <mergeCell ref="H19:I20"/>
    <mergeCell ref="N19:O20"/>
    <mergeCell ref="H23:I24"/>
    <mergeCell ref="J23:K24"/>
    <mergeCell ref="F25:G26"/>
    <mergeCell ref="H25:I26"/>
    <mergeCell ref="J25:K26"/>
    <mergeCell ref="F27:G28"/>
    <mergeCell ref="H27:I28"/>
    <mergeCell ref="J27:K28"/>
    <mergeCell ref="L23:M24"/>
    <mergeCell ref="N23:O24"/>
    <mergeCell ref="L25:M26"/>
    <mergeCell ref="N25:O26"/>
    <mergeCell ref="L27:M28"/>
    <mergeCell ref="N27:O28"/>
    <mergeCell ref="L29:M30"/>
    <mergeCell ref="N29:O30"/>
    <mergeCell ref="F19:G20"/>
    <mergeCell ref="F21:G22"/>
    <mergeCell ref="H21:I22"/>
    <mergeCell ref="J21:K22"/>
    <mergeCell ref="L21:M22"/>
    <mergeCell ref="N21:O22"/>
    <mergeCell ref="F23:G24"/>
  </mergeCells>
  <drawing r:id="rId1"/>
</worksheet>
</file>